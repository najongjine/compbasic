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1915c20cb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따라칠자료" sheetId="1" r:id="R799b94c74de5485a"/>
    <x:sheet xmlns:r="http://schemas.openxmlformats.org/officeDocument/2006/relationships" name="02_직접실습" sheetId="2" r:id="R72895652a6fc4e80"/>
    <x:sheet xmlns:r="http://schemas.openxmlformats.org/officeDocument/2006/relationships" name="03_정답확인" sheetId="3" r:id="R7e34fcf5cb5c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[Red]-#,##0;0"/>
    <x:numFmt numFmtId="202" formatCode="#,##0"/>
  </x:numFmts>
  <x:fonts count="8">
    <x:font>
      <x:sz val="11"/>
      <x:name val="Carlito"/>
    </x:font>
    <x:font>
      <x:sz val="12"/>
      <x:color rgb="FF243746"/>
      <x:name val="Noto Sans KR"/>
    </x:font>
    <x:font>
      <x:b/>
      <x:sz val="18"/>
      <x:color rgb="FF294B59"/>
      <x:name val="Noto Sans KR"/>
    </x:font>
    <x:font>
      <x:sz val="12"/>
      <x:color rgb="FF526572"/>
      <x:name val="Noto Sans KR"/>
    </x:font>
    <x:font>
      <x:b/>
      <x:sz val="12"/>
      <x:color rgb="FFFFFFFF"/>
      <x:name val="Noto Sans KR"/>
    </x:font>
    <x:font>
      <x:b/>
      <x:sz val="12"/>
      <x:color rgb="FF243746"/>
      <x:name val="Noto Sans KR"/>
    </x:font>
    <x:font>
      <x:b/>
      <x:sz val="12"/>
      <x:color rgb="FF294B59"/>
      <x:name val="Noto Sans KR"/>
    </x:font>
    <x:font>
      <x:sz val="11"/>
      <x:color rgb="FF526572"/>
      <x:name val="Noto Sans KR"/>
    </x:font>
  </x:fonts>
  <x:fills count="7">
    <x:fill>
      <x:patternFill patternType="none"/>
    </x:fill>
    <x:fill>
      <x:patternFill patternType="gray125"/>
    </x:fill>
    <x:fill>
      <x:patternFill patternType="solid">
        <x:fgColor rgb="FF294B59"/>
      </x:patternFill>
    </x:fill>
    <x:fill>
      <x:patternFill patternType="solid">
        <x:fgColor rgb="FFEEF1F3"/>
      </x:patternFill>
    </x:fill>
    <x:fill>
      <x:patternFill patternType="solid">
        <x:fgColor rgb="FFF5F7F8"/>
      </x:patternFill>
    </x:fill>
    <x:fill>
      <x:patternFill patternType="solid">
        <x:fgColor rgb="FFFFF2CC"/>
      </x:patternFill>
    </x:fill>
    <x:fill>
      <x:patternFill patternType="solid">
        <x:fgColor rgb="FFE4F1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3D10"/>
      </x:font>
      <x:fill>
        <x:patternFill patternType="solid">
          <x:bgColor rgb="FFFCE4D6"/>
        </x:patternFill>
      </x:fill>
    </x:dxf>
    <x:dxf>
      <x:font>
        <x:b/>
        <x:color rgb="FFAC2525"/>
      </x:font>
      <x:fill>
        <x:patternFill patternType="solid">
          <x:bgColor rgb="FFFCE4D6"/>
        </x:patternFill>
      </x:fill>
    </x:dxf>
    <x:dxf>
      <x:font>
        <x:b/>
        <x:color rgb="FF9C3D10"/>
      </x:font>
      <x:fill>
        <x:patternFill patternType="solid">
          <x:bgColor rgb="FFFCE4D6"/>
        </x:patternFill>
      </x:fill>
    </x:dxf>
    <x:dxf>
      <x:font>
        <x:b/>
        <x:color rgb="FFAC2525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a0cbf6ddb47a9" /><Relationship Type="http://schemas.openxmlformats.org/officeDocument/2006/relationships/theme" Target="/xl/theme/theme1.xml" Id="R99f7c58bfcba478b" /><Relationship Type="http://schemas.openxmlformats.org/officeDocument/2006/relationships/sharedStrings" Target="/xl/sharedStrings.xml" Id="Rad056a711eb54de3" /><Relationship Type="http://schemas.openxmlformats.org/officeDocument/2006/relationships/worksheet" Target="/xl/worksheets/sheet1.xml" Id="R799b94c74de5485a" /><Relationship Type="http://schemas.openxmlformats.org/officeDocument/2006/relationships/worksheet" Target="/xl/worksheets/sheet2.xml" Id="R72895652a6fc4e80" /><Relationship Type="http://schemas.openxmlformats.org/officeDocument/2006/relationships/worksheet" Target="/xl/worksheets/sheet3.xml" Id="R7e34fcf5cb5c4c2d" /></Relationships>
</file>

<file path=xl/tables/table1.xml><?xml version="1.0" encoding="utf-8"?>
<x:table xmlns:x="http://schemas.openxmlformats.org/spreadsheetml/2006/main" id="1" name="PracticeOrders" displayName="PracticeOrders" ref="A6:L26" headerRowCount="1" totalsRowCount="0" totalsRowShown="0">
  <x:tableColumns count="12">
    <x:tableColumn id="1" name="주문일"/>
    <x:tableColumn id="2" name="주문번호"/>
    <x:tableColumn id="3" name="상품명"/>
    <x:tableColumn id="4" name="수량"/>
    <x:tableColumn id="5" name="판매단가"/>
    <x:tableColumn id="6" name="매입단가"/>
    <x:tableColumn id="7" name="상품매출"/>
    <x:tableColumn id="8" name="매입합계"/>
    <x:tableColumn id="9" name="수수료"/>
    <x:tableColumn id="10" name="배송부담"/>
    <x:tableColumn id="11" name="예상이익"/>
    <x:tableColumn id="12" name="발송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swerOrders" displayName="AnswerOrders" ref="A6:L26" headerRowCount="1" totalsRowCount="0" totalsRowShown="0">
  <x:tableColumns count="12">
    <x:tableColumn id="1" name="주문일"/>
    <x:tableColumn id="2" name="주문번호"/>
    <x:tableColumn id="3" name="상품명"/>
    <x:tableColumn id="4" name="수량"/>
    <x:tableColumn id="5" name="판매단가"/>
    <x:tableColumn id="6" name="매입단가"/>
    <x:tableColumn id="7" name="상품매출"/>
    <x:tableColumn id="8" name="매입합계"/>
    <x:tableColumn id="9" name="수수료"/>
    <x:tableColumn id="10" name="배송부담"/>
    <x:tableColumn id="11" name="예상이익"/>
    <x:tableColumn id="12" name="발송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12b836348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79bb70a4046ad" /></Relationships>
</file>

<file path=xl/worksheets/sheet1.xml><?xml version="1.0" encoding="utf-8"?>
<x:worksheet xmlns:x="http://schemas.openxmlformats.org/spreadsheetml/2006/main">
  <x:sheetPr>
    <x:tabColor rgb="FF294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8" hidden="0" customWidth="1"/>
    <x:col min="4" max="4" width="8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스마트스토어 운영 연습 · 입력 예시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이 시트의 자료를 보며 02_직접실습 시트에 입력하세요. 계산칸은 직접 채웁니다.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7" t="str">
        <x:v>주문일</x:v>
      </x:c>
      <x:c r="B6" s="7" t="str">
        <x:v>주문번호</x:v>
      </x:c>
      <x:c r="C6" s="7" t="str">
        <x:v>상품명</x:v>
      </x:c>
      <x:c r="D6" s="7" t="str">
        <x:v>수량</x:v>
      </x:c>
      <x:c r="E6" s="7" t="str">
        <x:v>판매단가</x:v>
      </x:c>
      <x:c r="F6" s="7" t="str">
        <x:v>매입단가</x:v>
      </x:c>
      <x:c r="G6" s="7" t="str">
        <x:v>상품매출</x:v>
      </x:c>
      <x:c r="H6" s="7" t="str">
        <x:v>매입합계</x:v>
      </x:c>
      <x:c r="I6" s="7" t="str">
        <x:v>수수료</x:v>
      </x:c>
      <x:c r="J6" s="7" t="str">
        <x:v>배송부담</x:v>
      </x:c>
      <x:c r="K6" s="7" t="str">
        <x:v>예상이익</x:v>
      </x:c>
      <x:c r="L6" s="7" t="str">
        <x:v>발송상태</x:v>
      </x:c>
    </x:row>
    <x:row r="7" ht="28" customHeight="1">
      <x:c r="A7" s="17" t="d">
        <x:v>2026-10-01T00:00:00.000Z</x:v>
      </x:c>
      <x:c r="B7" s="18" t="str">
        <x:v>S001</x:v>
      </x:c>
      <x:c r="C7" s="18" t="str">
        <x:v>머그컵</x:v>
      </x:c>
      <x:c r="D7" s="19" t="n">
        <x:v>1</x:v>
      </x:c>
      <x:c r="E7" s="19" t="n">
        <x:v>12000</x:v>
      </x:c>
      <x:c r="F7" s="19" t="n">
        <x:v>6500</x:v>
      </x:c>
      <x:c r="G7" s="11"/>
      <x:c r="H7" s="11"/>
      <x:c r="I7" s="19" t="n">
        <x:v>600</x:v>
      </x:c>
      <x:c r="J7" s="19" t="n">
        <x:v>3000</x:v>
      </x:c>
      <x:c r="K7" s="11"/>
      <x:c r="L7" s="18" t="str">
        <x:v>발송완료</x:v>
      </x:c>
    </x:row>
    <x:row r="8" ht="28" customHeight="1">
      <x:c r="A8" s="17" t="d">
        <x:v>2026-10-01T00:00:00.000Z</x:v>
      </x:c>
      <x:c r="B8" s="18" t="str">
        <x:v>S002</x:v>
      </x:c>
      <x:c r="C8" s="18" t="str">
        <x:v>수건세트</x:v>
      </x:c>
      <x:c r="D8" s="19" t="n">
        <x:v>2</x:v>
      </x:c>
      <x:c r="E8" s="19" t="n">
        <x:v>18000</x:v>
      </x:c>
      <x:c r="F8" s="19" t="n">
        <x:v>10000</x:v>
      </x:c>
      <x:c r="G8" s="11"/>
      <x:c r="H8" s="11"/>
      <x:c r="I8" s="19" t="n">
        <x:v>1800</x:v>
      </x:c>
      <x:c r="J8" s="19" t="n">
        <x:v>0</x:v>
      </x:c>
      <x:c r="K8" s="11"/>
      <x:c r="L8" s="18" t="str">
        <x:v>발송완료</x:v>
      </x:c>
    </x:row>
    <x:row r="9" ht="28" customHeight="1">
      <x:c r="A9" s="17" t="d">
        <x:v>2026-10-01T00:00:00.000Z</x:v>
      </x:c>
      <x:c r="B9" s="18" t="str">
        <x:v>S003</x:v>
      </x:c>
      <x:c r="C9" s="18" t="str">
        <x:v>에코백</x:v>
      </x:c>
      <x:c r="D9" s="19" t="n">
        <x:v>1</x:v>
      </x:c>
      <x:c r="E9" s="19" t="n">
        <x:v>15000</x:v>
      </x:c>
      <x:c r="F9" s="19" t="n">
        <x:v>8000</x:v>
      </x:c>
      <x:c r="G9" s="11"/>
      <x:c r="H9" s="11"/>
      <x:c r="I9" s="19" t="n">
        <x:v>750</x:v>
      </x:c>
      <x:c r="J9" s="19" t="n">
        <x:v>3000</x:v>
      </x:c>
      <x:c r="K9" s="11"/>
      <x:c r="L9" s="18" t="str">
        <x:v>발송완료</x:v>
      </x:c>
    </x:row>
    <x:row r="10" ht="28" customHeight="1">
      <x:c r="A10" s="17" t="d">
        <x:v>2026-10-02T00:00:00.000Z</x:v>
      </x:c>
      <x:c r="B10" s="18" t="str">
        <x:v>S004</x:v>
      </x:c>
      <x:c r="C10" s="18" t="str">
        <x:v>텀블러</x:v>
      </x:c>
      <x:c r="D10" s="19" t="n">
        <x:v>1</x:v>
      </x:c>
      <x:c r="E10" s="19" t="n">
        <x:v>22000</x:v>
      </x:c>
      <x:c r="F10" s="19" t="n">
        <x:v>13000</x:v>
      </x:c>
      <x:c r="G10" s="11"/>
      <x:c r="H10" s="11"/>
      <x:c r="I10" s="19" t="n">
        <x:v>1100</x:v>
      </x:c>
      <x:c r="J10" s="19" t="n">
        <x:v>0</x:v>
      </x:c>
      <x:c r="K10" s="11"/>
      <x:c r="L10" s="18" t="str">
        <x:v>발송완료</x:v>
      </x:c>
    </x:row>
    <x:row r="11" ht="28" customHeight="1">
      <x:c r="A11" s="17" t="d">
        <x:v>2026-10-02T00:00:00.000Z</x:v>
      </x:c>
      <x:c r="B11" s="18" t="str">
        <x:v>S005</x:v>
      </x:c>
      <x:c r="C11" s="18" t="str">
        <x:v>수세미세트</x:v>
      </x:c>
      <x:c r="D11" s="19" t="n">
        <x:v>3</x:v>
      </x:c>
      <x:c r="E11" s="19" t="n">
        <x:v>6000</x:v>
      </x:c>
      <x:c r="F11" s="19" t="n">
        <x:v>2500</x:v>
      </x:c>
      <x:c r="G11" s="11"/>
      <x:c r="H11" s="11"/>
      <x:c r="I11" s="19" t="n">
        <x:v>900</x:v>
      </x:c>
      <x:c r="J11" s="19" t="n">
        <x:v>3000</x:v>
      </x:c>
      <x:c r="K11" s="11"/>
      <x:c r="L11" s="18" t="str">
        <x:v>발송완료</x:v>
      </x:c>
    </x:row>
    <x:row r="12" ht="28" customHeight="1">
      <x:c r="A12" s="17" t="d">
        <x:v>2026-10-02T00:00:00.000Z</x:v>
      </x:c>
      <x:c r="B12" s="18" t="str">
        <x:v>S006</x:v>
      </x:c>
      <x:c r="C12" s="18" t="str">
        <x:v>머그컵</x:v>
      </x:c>
      <x:c r="D12" s="19" t="n">
        <x:v>2</x:v>
      </x:c>
      <x:c r="E12" s="19" t="n">
        <x:v>12000</x:v>
      </x:c>
      <x:c r="F12" s="19" t="n">
        <x:v>6500</x:v>
      </x:c>
      <x:c r="G12" s="11"/>
      <x:c r="H12" s="11"/>
      <x:c r="I12" s="19" t="n">
        <x:v>1200</x:v>
      </x:c>
      <x:c r="J12" s="19" t="n">
        <x:v>0</x:v>
      </x:c>
      <x:c r="K12" s="11"/>
      <x:c r="L12" s="18" t="str">
        <x:v>발송완료</x:v>
      </x:c>
    </x:row>
    <x:row r="13" ht="28" customHeight="1">
      <x:c r="A13" s="17" t="d">
        <x:v>2026-10-03T00:00:00.000Z</x:v>
      </x:c>
      <x:c r="B13" s="18" t="str">
        <x:v>S007</x:v>
      </x:c>
      <x:c r="C13" s="18" t="str">
        <x:v>수건세트</x:v>
      </x:c>
      <x:c r="D13" s="19" t="n">
        <x:v>1</x:v>
      </x:c>
      <x:c r="E13" s="19" t="n">
        <x:v>18000</x:v>
      </x:c>
      <x:c r="F13" s="19" t="n">
        <x:v>10000</x:v>
      </x:c>
      <x:c r="G13" s="11"/>
      <x:c r="H13" s="11"/>
      <x:c r="I13" s="19" t="n">
        <x:v>900</x:v>
      </x:c>
      <x:c r="J13" s="19" t="n">
        <x:v>3000</x:v>
      </x:c>
      <x:c r="K13" s="11"/>
      <x:c r="L13" s="18" t="str">
        <x:v>발송대기</x:v>
      </x:c>
    </x:row>
    <x:row r="14" ht="28" customHeight="1">
      <x:c r="A14" s="17" t="d">
        <x:v>2026-10-03T00:00:00.000Z</x:v>
      </x:c>
      <x:c r="B14" s="18" t="str">
        <x:v>S008</x:v>
      </x:c>
      <x:c r="C14" s="18" t="str">
        <x:v>에코백</x:v>
      </x:c>
      <x:c r="D14" s="19" t="n">
        <x:v>2</x:v>
      </x:c>
      <x:c r="E14" s="19" t="n">
        <x:v>15000</x:v>
      </x:c>
      <x:c r="F14" s="19" t="n">
        <x:v>8000</x:v>
      </x:c>
      <x:c r="G14" s="11"/>
      <x:c r="H14" s="11"/>
      <x:c r="I14" s="19" t="n">
        <x:v>1500</x:v>
      </x:c>
      <x:c r="J14" s="19" t="n">
        <x:v>0</x:v>
      </x:c>
      <x:c r="K14" s="11"/>
      <x:c r="L14" s="18" t="str">
        <x:v>발송완료</x:v>
      </x:c>
    </x:row>
    <x:row r="15" ht="28" customHeight="1">
      <x:c r="A15" s="17" t="d">
        <x:v>2026-10-03T00:00:00.000Z</x:v>
      </x:c>
      <x:c r="B15" s="18" t="str">
        <x:v>S009</x:v>
      </x:c>
      <x:c r="C15" s="18" t="str">
        <x:v>텀블러</x:v>
      </x:c>
      <x:c r="D15" s="19" t="n">
        <x:v>2</x:v>
      </x:c>
      <x:c r="E15" s="19" t="n">
        <x:v>22000</x:v>
      </x:c>
      <x:c r="F15" s="19" t="n">
        <x:v>13000</x:v>
      </x:c>
      <x:c r="G15" s="11"/>
      <x:c r="H15" s="11"/>
      <x:c r="I15" s="19" t="n">
        <x:v>2200</x:v>
      </x:c>
      <x:c r="J15" s="19" t="n">
        <x:v>0</x:v>
      </x:c>
      <x:c r="K15" s="11"/>
      <x:c r="L15" s="18" t="str">
        <x:v>발송대기</x:v>
      </x:c>
    </x:row>
    <x:row r="16" ht="28" customHeight="1">
      <x:c r="A16" s="17" t="d">
        <x:v>2026-10-04T00:00:00.000Z</x:v>
      </x:c>
      <x:c r="B16" s="18" t="str">
        <x:v>S010</x:v>
      </x:c>
      <x:c r="C16" s="18" t="str">
        <x:v>수세미세트</x:v>
      </x:c>
      <x:c r="D16" s="19" t="n">
        <x:v>1</x:v>
      </x:c>
      <x:c r="E16" s="19" t="n">
        <x:v>6000</x:v>
      </x:c>
      <x:c r="F16" s="19" t="n">
        <x:v>2500</x:v>
      </x:c>
      <x:c r="G16" s="11"/>
      <x:c r="H16" s="11"/>
      <x:c r="I16" s="19" t="n">
        <x:v>300</x:v>
      </x:c>
      <x:c r="J16" s="19" t="n">
        <x:v>4000</x:v>
      </x:c>
      <x:c r="K16" s="11"/>
      <x:c r="L16" s="18" t="str">
        <x:v>발송완료</x:v>
      </x:c>
    </x:row>
    <x:row r="17" ht="28" customHeight="1">
      <x:c r="A17" s="17" t="d">
        <x:v>2026-10-04T00:00:00.000Z</x:v>
      </x:c>
      <x:c r="B17" s="18" t="str">
        <x:v>S011</x:v>
      </x:c>
      <x:c r="C17" s="18" t="str">
        <x:v>머그컵</x:v>
      </x:c>
      <x:c r="D17" s="19" t="n">
        <x:v>1</x:v>
      </x:c>
      <x:c r="E17" s="19" t="n">
        <x:v>12000</x:v>
      </x:c>
      <x:c r="F17" s="19" t="n">
        <x:v>6500</x:v>
      </x:c>
      <x:c r="G17" s="11"/>
      <x:c r="H17" s="11"/>
      <x:c r="I17" s="19" t="n">
        <x:v>600</x:v>
      </x:c>
      <x:c r="J17" s="19" t="n">
        <x:v>3000</x:v>
      </x:c>
      <x:c r="K17" s="11"/>
      <x:c r="L17" s="18" t="str">
        <x:v>발송대기</x:v>
      </x:c>
    </x:row>
    <x:row r="18" ht="28" customHeight="1">
      <x:c r="A18" s="17" t="d">
        <x:v>2026-10-04T00:00:00.000Z</x:v>
      </x:c>
      <x:c r="B18" s="18" t="str">
        <x:v>S012</x:v>
      </x:c>
      <x:c r="C18" s="18" t="str">
        <x:v>수건세트</x:v>
      </x:c>
      <x:c r="D18" s="19" t="n">
        <x:v>3</x:v>
      </x:c>
      <x:c r="E18" s="19" t="n">
        <x:v>18000</x:v>
      </x:c>
      <x:c r="F18" s="19" t="n">
        <x:v>10000</x:v>
      </x:c>
      <x:c r="G18" s="11"/>
      <x:c r="H18" s="11"/>
      <x:c r="I18" s="19" t="n">
        <x:v>2700</x:v>
      </x:c>
      <x:c r="J18" s="19" t="n">
        <x:v>0</x:v>
      </x:c>
      <x:c r="K18" s="11"/>
      <x:c r="L18" s="18" t="str">
        <x:v>발송완료</x:v>
      </x:c>
    </x:row>
    <x:row r="19" ht="28" customHeight="1">
      <x:c r="A19" s="17" t="d">
        <x:v>2026-10-05T00:00:00.000Z</x:v>
      </x:c>
      <x:c r="B19" s="18" t="str">
        <x:v>S013</x:v>
      </x:c>
      <x:c r="C19" s="18" t="str">
        <x:v>에코백</x:v>
      </x:c>
      <x:c r="D19" s="19" t="n">
        <x:v>1</x:v>
      </x:c>
      <x:c r="E19" s="19" t="n">
        <x:v>15000</x:v>
      </x:c>
      <x:c r="F19" s="19" t="n">
        <x:v>8000</x:v>
      </x:c>
      <x:c r="G19" s="11"/>
      <x:c r="H19" s="11"/>
      <x:c r="I19" s="19" t="n">
        <x:v>750</x:v>
      </x:c>
      <x:c r="J19" s="19" t="n">
        <x:v>3000</x:v>
      </x:c>
      <x:c r="K19" s="11"/>
      <x:c r="L19" s="18" t="str">
        <x:v>발송대기</x:v>
      </x:c>
    </x:row>
    <x:row r="20" ht="28" customHeight="1">
      <x:c r="A20" s="17" t="d">
        <x:v>2026-10-05T00:00:00.000Z</x:v>
      </x:c>
      <x:c r="B20" s="18" t="str">
        <x:v>S014</x:v>
      </x:c>
      <x:c r="C20" s="18" t="str">
        <x:v>텀블러</x:v>
      </x:c>
      <x:c r="D20" s="19" t="n">
        <x:v>1</x:v>
      </x:c>
      <x:c r="E20" s="19" t="n">
        <x:v>22000</x:v>
      </x:c>
      <x:c r="F20" s="19" t="n">
        <x:v>13000</x:v>
      </x:c>
      <x:c r="G20" s="11"/>
      <x:c r="H20" s="11"/>
      <x:c r="I20" s="19" t="n">
        <x:v>1100</x:v>
      </x:c>
      <x:c r="J20" s="19" t="n">
        <x:v>3000</x:v>
      </x:c>
      <x:c r="K20" s="11"/>
      <x:c r="L20" s="18" t="str">
        <x:v>발송완료</x:v>
      </x:c>
    </x:row>
    <x:row r="21" ht="28" customHeight="1">
      <x:c r="A21" s="17" t="d">
        <x:v>2026-10-05T00:00:00.000Z</x:v>
      </x:c>
      <x:c r="B21" s="18" t="str">
        <x:v>S015</x:v>
      </x:c>
      <x:c r="C21" s="18" t="str">
        <x:v>수세미세트</x:v>
      </x:c>
      <x:c r="D21" s="19" t="n">
        <x:v>2</x:v>
      </x:c>
      <x:c r="E21" s="19" t="n">
        <x:v>6000</x:v>
      </x:c>
      <x:c r="F21" s="19" t="n">
        <x:v>2500</x:v>
      </x:c>
      <x:c r="G21" s="11"/>
      <x:c r="H21" s="11"/>
      <x:c r="I21" s="19" t="n">
        <x:v>600</x:v>
      </x:c>
      <x:c r="J21" s="19" t="n">
        <x:v>3000</x:v>
      </x:c>
      <x:c r="K21" s="11"/>
      <x:c r="L21" s="18" t="str">
        <x:v>발송대기</x:v>
      </x:c>
    </x:row>
    <x:row r="22" ht="28" customHeight="1">
      <x:c r="A22" s="17"/>
      <x:c r="B22" s="18"/>
      <x:c r="C22" s="18"/>
      <x:c r="D22" s="19"/>
      <x:c r="E22" s="19"/>
      <x:c r="F22" s="19"/>
      <x:c r="G22" s="11"/>
      <x:c r="H22" s="11"/>
      <x:c r="I22" s="19"/>
      <x:c r="J22" s="19"/>
      <x:c r="K22" s="11"/>
      <x:c r="L22" s="18"/>
    </x:row>
    <x:row r="23" ht="28" customHeight="1">
      <x:c r="A23" s="17"/>
      <x:c r="B23" s="18"/>
      <x:c r="C23" s="18"/>
      <x:c r="D23" s="19"/>
      <x:c r="E23" s="19"/>
      <x:c r="F23" s="19"/>
      <x:c r="G23" s="11"/>
      <x:c r="H23" s="11"/>
      <x:c r="I23" s="19"/>
      <x:c r="J23" s="19"/>
      <x:c r="K23" s="11"/>
      <x:c r="L23" s="18"/>
    </x:row>
    <x:row r="24" ht="28" customHeight="1">
      <x:c r="A24" s="17"/>
      <x:c r="B24" s="18"/>
      <x:c r="C24" s="18"/>
      <x:c r="D24" s="19"/>
      <x:c r="E24" s="19"/>
      <x:c r="F24" s="19"/>
      <x:c r="G24" s="11"/>
      <x:c r="H24" s="11"/>
      <x:c r="I24" s="19"/>
      <x:c r="J24" s="19"/>
      <x:c r="K24" s="11"/>
      <x:c r="L24" s="18"/>
    </x:row>
    <x:row r="25" ht="28" customHeight="1">
      <x:c r="A25" s="17"/>
      <x:c r="B25" s="18"/>
      <x:c r="C25" s="18"/>
      <x:c r="D25" s="19"/>
      <x:c r="E25" s="19"/>
      <x:c r="F25" s="19"/>
      <x:c r="G25" s="11"/>
      <x:c r="H25" s="11"/>
      <x:c r="I25" s="19"/>
      <x:c r="J25" s="19"/>
      <x:c r="K25" s="11"/>
      <x:c r="L25" s="18"/>
    </x:row>
    <x:row r="26" ht="28" customHeight="1">
      <x:c r="A26" s="17"/>
      <x:c r="B26" s="18"/>
      <x:c r="C26" s="18"/>
      <x:c r="D26" s="19"/>
      <x:c r="E26" s="19"/>
      <x:c r="F26" s="19"/>
      <x:c r="G26" s="11"/>
      <x:c r="H26" s="11"/>
      <x:c r="I26" s="19"/>
      <x:c r="J26" s="19"/>
      <x:c r="K26" s="11"/>
      <x:c r="L26" s="18"/>
    </x:row>
    <x:row r="27" ht="25" customHeight="1">
      <x:c r="A27" s="2"/>
      <x:c r="B27" s="2"/>
      <x:c r="C27" s="2"/>
      <x:c r="D27" s="9"/>
      <x:c r="E27" s="9"/>
      <x:c r="F27" s="9"/>
      <x:c r="G27" s="9"/>
      <x:c r="H27" s="9"/>
      <x:c r="I27" s="9"/>
      <x:c r="J27" s="9"/>
      <x:c r="K27" s="9"/>
      <x:c r="L27" s="2"/>
    </x:row>
    <x:row r="28" ht="25" customHeight="1">
      <x:c r="A28" s="12" t="str">
        <x:v>합계</x:v>
      </x:c>
      <x:c r="B28" s="12"/>
      <x:c r="C28" s="12"/>
      <x:c r="D28" s="13"/>
      <x:c r="E28" s="13"/>
      <x:c r="F28" s="13"/>
      <x:c r="G28" s="13"/>
      <x:c r="H28" s="13"/>
      <x:c r="I28" s="13"/>
      <x:c r="J28" s="13"/>
      <x:c r="K28" s="13"/>
      <x:c r="L28" s="1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14" t="str">
        <x:v>재고 관리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 t="str">
        <x:v>발송대기도 판매수량에 포함. 남은 재고는 새 주문을 받을 수 있는 수량입니다.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2" customHeight="1">
      <x:c r="A33" s="7" t="str">
        <x:v>상품명</x:v>
      </x:c>
      <x:c r="B33" s="7" t="str">
        <x:v>기초재고</x:v>
      </x:c>
      <x:c r="C33" s="7" t="str">
        <x:v>입고수량</x:v>
      </x:c>
      <x:c r="D33" s="7" t="str">
        <x:v>판매수량</x:v>
      </x:c>
      <x:c r="E33" s="7" t="str">
        <x:v>남은재고</x:v>
      </x:c>
      <x:c r="F33" s="7" t="str">
        <x:v>추가입고 기준</x:v>
      </x:c>
      <x:c r="G33" s="7" t="str">
        <x:v>입고판단</x:v>
      </x:c>
      <x:c r="H33" s="2"/>
      <x:c r="I33" s="2"/>
      <x:c r="J33" s="2"/>
      <x:c r="K33" s="2"/>
      <x:c r="L33" s="2"/>
    </x:row>
    <x:row r="34" ht="28" customHeight="1">
      <x:c r="A34" s="18" t="str">
        <x:v>머그컵</x:v>
      </x:c>
      <x:c r="B34" s="20" t="n">
        <x:v>10</x:v>
      </x:c>
      <x:c r="C34" s="20" t="n">
        <x:v>0</x:v>
      </x:c>
      <x:c r="D34" s="21"/>
      <x:c r="E34" s="21"/>
      <x:c r="F34" s="20" t="n">
        <x:v>8</x:v>
      </x:c>
      <x:c r="G34" s="10"/>
      <x:c r="H34" s="2"/>
      <x:c r="I34" s="2"/>
      <x:c r="J34" s="2"/>
      <x:c r="K34" s="2"/>
      <x:c r="L34" s="2"/>
    </x:row>
    <x:row r="35" ht="28" customHeight="1">
      <x:c r="A35" s="18" t="str">
        <x:v>수건세트</x:v>
      </x:c>
      <x:c r="B35" s="20" t="n">
        <x:v>25</x:v>
      </x:c>
      <x:c r="C35" s="20" t="n">
        <x:v>5</x:v>
      </x:c>
      <x:c r="D35" s="21"/>
      <x:c r="E35" s="21"/>
      <x:c r="F35" s="20" t="n">
        <x:v>8</x:v>
      </x:c>
      <x:c r="G35" s="10"/>
      <x:c r="H35" s="2"/>
      <x:c r="I35" s="2"/>
      <x:c r="J35" s="2"/>
      <x:c r="K35" s="2"/>
      <x:c r="L35" s="2"/>
    </x:row>
    <x:row r="36" ht="28" customHeight="1">
      <x:c r="A36" s="18" t="str">
        <x:v>에코백</x:v>
      </x:c>
      <x:c r="B36" s="20" t="n">
        <x:v>20</x:v>
      </x:c>
      <x:c r="C36" s="20" t="n">
        <x:v>0</x:v>
      </x:c>
      <x:c r="D36" s="21"/>
      <x:c r="E36" s="21"/>
      <x:c r="F36" s="20" t="n">
        <x:v>6</x:v>
      </x:c>
      <x:c r="G36" s="10"/>
      <x:c r="H36" s="2"/>
      <x:c r="I36" s="2"/>
      <x:c r="J36" s="2"/>
      <x:c r="K36" s="2"/>
      <x:c r="L36" s="2"/>
    </x:row>
    <x:row r="37" ht="28" customHeight="1">
      <x:c r="A37" s="18" t="str">
        <x:v>텀블러</x:v>
      </x:c>
      <x:c r="B37" s="20" t="n">
        <x:v>15</x:v>
      </x:c>
      <x:c r="C37" s="20" t="n">
        <x:v>5</x:v>
      </x:c>
      <x:c r="D37" s="21"/>
      <x:c r="E37" s="21"/>
      <x:c r="F37" s="20" t="n">
        <x:v>7</x:v>
      </x:c>
      <x:c r="G37" s="10"/>
      <x:c r="H37" s="2"/>
      <x:c r="I37" s="2"/>
      <x:c r="J37" s="2"/>
      <x:c r="K37" s="2"/>
      <x:c r="L37" s="2"/>
    </x:row>
    <x:row r="38" ht="28" customHeight="1">
      <x:c r="A38" s="18" t="str">
        <x:v>수세미세트</x:v>
      </x:c>
      <x:c r="B38" s="20" t="n">
        <x:v>40</x:v>
      </x:c>
      <x:c r="C38" s="20" t="n">
        <x:v>0</x:v>
      </x:c>
      <x:c r="D38" s="21"/>
      <x:c r="E38" s="21"/>
      <x:c r="F38" s="20" t="n">
        <x:v>10</x:v>
      </x:c>
      <x:c r="G38" s="10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14" t="str">
        <x:v>운영 현황 확인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32" customHeight="1">
      <x:c r="A42" s="7" t="str">
        <x:v>확인할 내용</x:v>
      </x:c>
      <x:c r="B42" s="7" t="str">
        <x:v>직접 구한 답</x:v>
      </x:c>
      <x:c r="C42" s="7" t="str">
        <x:v>단위</x:v>
      </x:c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 t="str">
        <x:v>총 판매수량</x:v>
      </x:c>
      <x:c r="B43" s="11"/>
      <x:c r="C43" s="2" t="str">
        <x:v>개</x:v>
      </x:c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 t="str">
        <x:v>발송대기 주문</x:v>
      </x:c>
      <x:c r="B44" s="11"/>
      <x:c r="C44" s="2" t="str">
        <x:v>건</x:v>
      </x:c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 t="str">
        <x:v>가장 큰 주문이익</x:v>
      </x:c>
      <x:c r="B45" s="11"/>
      <x:c r="C45" s="2" t="str">
        <x:v>원</x:v>
      </x:c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 t="str">
        <x:v>머그컵 상품매출</x:v>
      </x:c>
      <x:c r="B46" s="11"/>
      <x:c r="C46" s="2" t="str">
        <x:v>원</x:v>
      </x:c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 t="str">
        <x:v>손해 난 주문</x:v>
      </x:c>
      <x:c r="B47" s="11"/>
      <x:c r="C47" s="2" t="str">
        <x:v>건</x:v>
      </x:c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5" customHeight="1">
      <x:c r="A49" s="16" t="str">
        <x:v>금액 단위: 원. 모든 주문은 가상 자료이며 취소·반품은 없는 연습 상황입니다.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5" customHeight="1">
      <x:c r="A50" s="16" t="str">
        <x:v>수수료는 주문별로 제시한 연습용 금액입니다. 스마트스토어 실제 요율이 아닙니다.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5" customHeight="1">
      <x:c r="A51" s="16" t="str">
        <x:v>배송부담 = 고객에게 받은 배송비를 뺀 판매자 부담액. 포장비도 포함한 것으로 가정합니다.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5" customHeight="1">
      <x:c r="A52" s="16" t="str">
        <x:v>예상이익 = 상품매출 - 매입합계 - 수수료 - 배송부담. 광고비·세금·고정비는 포함하지 않습니다.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5" customHeight="1">
      <x:c r="A54" s="14" t="str">
        <x:v>실습 순서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5" customHeight="1">
      <x:c r="A55" s="2" t="str">
        <x:v>1. 02_직접실습의 A7:F21, I7:J21, L7:L21에 위 주문 15건을 따라 입력하세요.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5" customHeight="1">
      <x:c r="A56" s="2" t="str">
        <x:v>2. G열은 수량 × 판매단가, H열은 수량 × 매입단가, K열은 예상이익을 구하세요.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5" customHeight="1">
      <x:c r="A57" s="2" t="str">
        <x:v>3. 첫 주문의 수식을 쓴 다음 채우기 핸들을 끌어 21행까지 복사하세요.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5" customHeight="1">
      <x:c r="A58" s="2" t="str">
        <x:v>4. 28행에 수량·상품매출·매입합계·수수료·배송부담·예상이익 합계를 구하세요.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5" customHeight="1">
      <x:c r="A59" s="2" t="str">
        <x:v>5. 재고표의 상품명·기초재고·입고수량·추가입고 기준을 입력하고 연두 칸을 계산하세요.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5" customHeight="1">
      <x:c r="A60" s="2" t="str">
        <x:v>6. 운영 현황 5개를 채우고 03_정답확인과 비교하세요.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5" customHeight="1">
      <x:c r="A61" s="2" t="str">
        <x:v>7. 표의 발송상태 필터로 발송대기만 찾고, 예상이익을 큰 순서로 정렬해보세요.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5" customHeight="1">
      <x:c r="A62" s="2" t="str">
        <x:v>8. 선택: 22~26행에 기존 상품의 주문을 만들고 계산 수식을 복사하세요. 합계는 26행까지입니다.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5" customHeight="1">
      <x:c r="A63" s="2" t="str">
        <x:v>9. 선택: 손해 난 주문의 배송부담을 줄여보고 예상이익 변화를 확인하세요.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8" hidden="0" customWidth="1"/>
    <x:col min="4" max="4" width="8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스마트스토어 운영 연습 · 직접 작성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노란 칸: 자료 입력   연두 칸: 수식 작성   7~21행: 따라 입력   22~26행: 내 주문 추가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7" t="str">
        <x:v>주문일</x:v>
      </x:c>
      <x:c r="B6" s="7" t="str">
        <x:v>주문번호</x:v>
      </x:c>
      <x:c r="C6" s="7" t="str">
        <x:v>상품명</x:v>
      </x:c>
      <x:c r="D6" s="7" t="str">
        <x:v>수량</x:v>
      </x:c>
      <x:c r="E6" s="7" t="str">
        <x:v>판매단가</x:v>
      </x:c>
      <x:c r="F6" s="7" t="str">
        <x:v>매입단가</x:v>
      </x:c>
      <x:c r="G6" s="7" t="str">
        <x:v>상품매출</x:v>
      </x:c>
      <x:c r="H6" s="7" t="str">
        <x:v>매입합계</x:v>
      </x:c>
      <x:c r="I6" s="7" t="str">
        <x:v>수수료</x:v>
      </x:c>
      <x:c r="J6" s="7" t="str">
        <x:v>배송부담</x:v>
      </x:c>
      <x:c r="K6" s="7" t="str">
        <x:v>예상이익</x:v>
      </x:c>
      <x:c r="L6" s="7" t="str">
        <x:v>발송상태</x:v>
      </x:c>
    </x:row>
    <x:row r="7" ht="28" customHeight="1">
      <x:c r="A7" s="22"/>
      <x:c r="B7" s="23"/>
      <x:c r="C7" s="23"/>
      <x:c r="D7" s="24"/>
      <x:c r="E7" s="24"/>
      <x:c r="F7" s="24"/>
      <x:c r="G7" s="25"/>
      <x:c r="H7" s="25"/>
      <x:c r="I7" s="24"/>
      <x:c r="J7" s="24"/>
      <x:c r="K7" s="25"/>
      <x:c r="L7" s="23"/>
    </x:row>
    <x:row r="8" ht="28" customHeight="1">
      <x:c r="A8" s="22"/>
      <x:c r="B8" s="23"/>
      <x:c r="C8" s="23"/>
      <x:c r="D8" s="24"/>
      <x:c r="E8" s="24"/>
      <x:c r="F8" s="24"/>
      <x:c r="G8" s="25"/>
      <x:c r="H8" s="25"/>
      <x:c r="I8" s="24"/>
      <x:c r="J8" s="24"/>
      <x:c r="K8" s="25"/>
      <x:c r="L8" s="23"/>
    </x:row>
    <x:row r="9" ht="28" customHeight="1">
      <x:c r="A9" s="22"/>
      <x:c r="B9" s="23"/>
      <x:c r="C9" s="23"/>
      <x:c r="D9" s="24"/>
      <x:c r="E9" s="24"/>
      <x:c r="F9" s="24"/>
      <x:c r="G9" s="25"/>
      <x:c r="H9" s="25"/>
      <x:c r="I9" s="24"/>
      <x:c r="J9" s="24"/>
      <x:c r="K9" s="25"/>
      <x:c r="L9" s="23"/>
    </x:row>
    <x:row r="10" ht="28" customHeight="1">
      <x:c r="A10" s="22"/>
      <x:c r="B10" s="23"/>
      <x:c r="C10" s="23"/>
      <x:c r="D10" s="24"/>
      <x:c r="E10" s="24"/>
      <x:c r="F10" s="24"/>
      <x:c r="G10" s="25"/>
      <x:c r="H10" s="25"/>
      <x:c r="I10" s="24"/>
      <x:c r="J10" s="24"/>
      <x:c r="K10" s="25"/>
      <x:c r="L10" s="23"/>
    </x:row>
    <x:row r="11" ht="28" customHeight="1">
      <x:c r="A11" s="22"/>
      <x:c r="B11" s="23"/>
      <x:c r="C11" s="23"/>
      <x:c r="D11" s="24"/>
      <x:c r="E11" s="24"/>
      <x:c r="F11" s="24"/>
      <x:c r="G11" s="25"/>
      <x:c r="H11" s="25"/>
      <x:c r="I11" s="24"/>
      <x:c r="J11" s="24"/>
      <x:c r="K11" s="25"/>
      <x:c r="L11" s="23"/>
    </x:row>
    <x:row r="12" ht="28" customHeight="1">
      <x:c r="A12" s="22"/>
      <x:c r="B12" s="23"/>
      <x:c r="C12" s="23"/>
      <x:c r="D12" s="24"/>
      <x:c r="E12" s="24"/>
      <x:c r="F12" s="24"/>
      <x:c r="G12" s="25"/>
      <x:c r="H12" s="25"/>
      <x:c r="I12" s="24"/>
      <x:c r="J12" s="24"/>
      <x:c r="K12" s="25"/>
      <x:c r="L12" s="23"/>
    </x:row>
    <x:row r="13" ht="28" customHeight="1">
      <x:c r="A13" s="22"/>
      <x:c r="B13" s="23"/>
      <x:c r="C13" s="23"/>
      <x:c r="D13" s="24"/>
      <x:c r="E13" s="24"/>
      <x:c r="F13" s="24"/>
      <x:c r="G13" s="25"/>
      <x:c r="H13" s="25"/>
      <x:c r="I13" s="24"/>
      <x:c r="J13" s="24"/>
      <x:c r="K13" s="25"/>
      <x:c r="L13" s="23"/>
    </x:row>
    <x:row r="14" ht="28" customHeight="1">
      <x:c r="A14" s="22"/>
      <x:c r="B14" s="23"/>
      <x:c r="C14" s="23"/>
      <x:c r="D14" s="24"/>
      <x:c r="E14" s="24"/>
      <x:c r="F14" s="24"/>
      <x:c r="G14" s="25"/>
      <x:c r="H14" s="25"/>
      <x:c r="I14" s="24"/>
      <x:c r="J14" s="24"/>
      <x:c r="K14" s="25"/>
      <x:c r="L14" s="23"/>
    </x:row>
    <x:row r="15" ht="28" customHeight="1">
      <x:c r="A15" s="22"/>
      <x:c r="B15" s="23"/>
      <x:c r="C15" s="23"/>
      <x:c r="D15" s="24"/>
      <x:c r="E15" s="24"/>
      <x:c r="F15" s="24"/>
      <x:c r="G15" s="25"/>
      <x:c r="H15" s="25"/>
      <x:c r="I15" s="24"/>
      <x:c r="J15" s="24"/>
      <x:c r="K15" s="25"/>
      <x:c r="L15" s="23"/>
    </x:row>
    <x:row r="16" ht="28" customHeight="1">
      <x:c r="A16" s="22"/>
      <x:c r="B16" s="23"/>
      <x:c r="C16" s="23"/>
      <x:c r="D16" s="24"/>
      <x:c r="E16" s="24"/>
      <x:c r="F16" s="24"/>
      <x:c r="G16" s="25"/>
      <x:c r="H16" s="25"/>
      <x:c r="I16" s="24"/>
      <x:c r="J16" s="24"/>
      <x:c r="K16" s="25"/>
      <x:c r="L16" s="23"/>
    </x:row>
    <x:row r="17" ht="28" customHeight="1">
      <x:c r="A17" s="22"/>
      <x:c r="B17" s="23"/>
      <x:c r="C17" s="23"/>
      <x:c r="D17" s="24"/>
      <x:c r="E17" s="24"/>
      <x:c r="F17" s="24"/>
      <x:c r="G17" s="25"/>
      <x:c r="H17" s="25"/>
      <x:c r="I17" s="24"/>
      <x:c r="J17" s="24"/>
      <x:c r="K17" s="25"/>
      <x:c r="L17" s="23"/>
    </x:row>
    <x:row r="18" ht="28" customHeight="1">
      <x:c r="A18" s="22"/>
      <x:c r="B18" s="23"/>
      <x:c r="C18" s="23"/>
      <x:c r="D18" s="24"/>
      <x:c r="E18" s="24"/>
      <x:c r="F18" s="24"/>
      <x:c r="G18" s="25"/>
      <x:c r="H18" s="25"/>
      <x:c r="I18" s="24"/>
      <x:c r="J18" s="24"/>
      <x:c r="K18" s="25"/>
      <x:c r="L18" s="23"/>
    </x:row>
    <x:row r="19" ht="28" customHeight="1">
      <x:c r="A19" s="22"/>
      <x:c r="B19" s="23"/>
      <x:c r="C19" s="23"/>
      <x:c r="D19" s="24"/>
      <x:c r="E19" s="24"/>
      <x:c r="F19" s="24"/>
      <x:c r="G19" s="25"/>
      <x:c r="H19" s="25"/>
      <x:c r="I19" s="24"/>
      <x:c r="J19" s="24"/>
      <x:c r="K19" s="25"/>
      <x:c r="L19" s="23"/>
    </x:row>
    <x:row r="20" ht="28" customHeight="1">
      <x:c r="A20" s="22"/>
      <x:c r="B20" s="23"/>
      <x:c r="C20" s="23"/>
      <x:c r="D20" s="24"/>
      <x:c r="E20" s="24"/>
      <x:c r="F20" s="24"/>
      <x:c r="G20" s="25"/>
      <x:c r="H20" s="25"/>
      <x:c r="I20" s="24"/>
      <x:c r="J20" s="24"/>
      <x:c r="K20" s="25"/>
      <x:c r="L20" s="23"/>
    </x:row>
    <x:row r="21" ht="28" customHeight="1">
      <x:c r="A21" s="22"/>
      <x:c r="B21" s="23"/>
      <x:c r="C21" s="23"/>
      <x:c r="D21" s="24"/>
      <x:c r="E21" s="24"/>
      <x:c r="F21" s="24"/>
      <x:c r="G21" s="25"/>
      <x:c r="H21" s="25"/>
      <x:c r="I21" s="24"/>
      <x:c r="J21" s="24"/>
      <x:c r="K21" s="25"/>
      <x:c r="L21" s="23"/>
    </x:row>
    <x:row r="22" ht="28" customHeight="1">
      <x:c r="A22" s="22"/>
      <x:c r="B22" s="23"/>
      <x:c r="C22" s="23"/>
      <x:c r="D22" s="24"/>
      <x:c r="E22" s="24"/>
      <x:c r="F22" s="24"/>
      <x:c r="G22" s="25"/>
      <x:c r="H22" s="25"/>
      <x:c r="I22" s="24"/>
      <x:c r="J22" s="24"/>
      <x:c r="K22" s="25"/>
      <x:c r="L22" s="23"/>
    </x:row>
    <x:row r="23" ht="28" customHeight="1">
      <x:c r="A23" s="22"/>
      <x:c r="B23" s="23"/>
      <x:c r="C23" s="23"/>
      <x:c r="D23" s="24"/>
      <x:c r="E23" s="24"/>
      <x:c r="F23" s="24"/>
      <x:c r="G23" s="25"/>
      <x:c r="H23" s="25"/>
      <x:c r="I23" s="24"/>
      <x:c r="J23" s="24"/>
      <x:c r="K23" s="25"/>
      <x:c r="L23" s="23"/>
    </x:row>
    <x:row r="24" ht="28" customHeight="1">
      <x:c r="A24" s="22"/>
      <x:c r="B24" s="23"/>
      <x:c r="C24" s="23"/>
      <x:c r="D24" s="24"/>
      <x:c r="E24" s="24"/>
      <x:c r="F24" s="24"/>
      <x:c r="G24" s="25"/>
      <x:c r="H24" s="25"/>
      <x:c r="I24" s="24"/>
      <x:c r="J24" s="24"/>
      <x:c r="K24" s="25"/>
      <x:c r="L24" s="23"/>
    </x:row>
    <x:row r="25" ht="28" customHeight="1">
      <x:c r="A25" s="22"/>
      <x:c r="B25" s="23"/>
      <x:c r="C25" s="23"/>
      <x:c r="D25" s="24"/>
      <x:c r="E25" s="24"/>
      <x:c r="F25" s="24"/>
      <x:c r="G25" s="25"/>
      <x:c r="H25" s="25"/>
      <x:c r="I25" s="24"/>
      <x:c r="J25" s="24"/>
      <x:c r="K25" s="25"/>
      <x:c r="L25" s="23"/>
    </x:row>
    <x:row r="26" ht="28" customHeight="1">
      <x:c r="A26" s="22"/>
      <x:c r="B26" s="23"/>
      <x:c r="C26" s="23"/>
      <x:c r="D26" s="24"/>
      <x:c r="E26" s="24"/>
      <x:c r="F26" s="24"/>
      <x:c r="G26" s="25"/>
      <x:c r="H26" s="25"/>
      <x:c r="I26" s="24"/>
      <x:c r="J26" s="24"/>
      <x:c r="K26" s="25"/>
      <x:c r="L26" s="23"/>
    </x:row>
    <x:row r="27" ht="25" customHeight="1">
      <x:c r="A27" s="2"/>
      <x:c r="B27" s="2"/>
      <x:c r="C27" s="2"/>
      <x:c r="D27" s="9"/>
      <x:c r="E27" s="9"/>
      <x:c r="F27" s="9"/>
      <x:c r="G27" s="9"/>
      <x:c r="H27" s="9"/>
      <x:c r="I27" s="9"/>
      <x:c r="J27" s="9"/>
      <x:c r="K27" s="9"/>
      <x:c r="L27" s="2"/>
    </x:row>
    <x:row r="28" ht="25" customHeight="1">
      <x:c r="A28" s="12" t="str">
        <x:v>합계</x:v>
      </x:c>
      <x:c r="B28" s="12"/>
      <x:c r="C28" s="12"/>
      <x:c r="D28" s="29"/>
      <x:c r="E28" s="13"/>
      <x:c r="F28" s="13"/>
      <x:c r="G28" s="29"/>
      <x:c r="H28" s="29"/>
      <x:c r="I28" s="29"/>
      <x:c r="J28" s="29"/>
      <x:c r="K28" s="29"/>
      <x:c r="L28" s="1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14" t="str">
        <x:v>재고 관리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 t="str">
        <x:v>발송대기도 판매수량에 포함. 남은 재고는 새 주문을 받을 수 있는 수량입니다.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2" customHeight="1">
      <x:c r="A33" s="7" t="str">
        <x:v>상품명</x:v>
      </x:c>
      <x:c r="B33" s="7" t="str">
        <x:v>기초재고</x:v>
      </x:c>
      <x:c r="C33" s="7" t="str">
        <x:v>입고수량</x:v>
      </x:c>
      <x:c r="D33" s="7" t="str">
        <x:v>판매수량</x:v>
      </x:c>
      <x:c r="E33" s="7" t="str">
        <x:v>남은재고</x:v>
      </x:c>
      <x:c r="F33" s="7" t="str">
        <x:v>추가입고 기준</x:v>
      </x:c>
      <x:c r="G33" s="7" t="str">
        <x:v>입고판단</x:v>
      </x:c>
      <x:c r="H33" s="2"/>
      <x:c r="I33" s="2"/>
      <x:c r="J33" s="2"/>
      <x:c r="K33" s="2"/>
      <x:c r="L33" s="2"/>
    </x:row>
    <x:row r="34" ht="28" customHeight="1">
      <x:c r="A34" s="23"/>
      <x:c r="B34" s="26"/>
      <x:c r="C34" s="26"/>
      <x:c r="D34" s="27"/>
      <x:c r="E34" s="27"/>
      <x:c r="F34" s="26"/>
      <x:c r="G34" s="28"/>
      <x:c r="H34" s="2"/>
      <x:c r="I34" s="2"/>
      <x:c r="J34" s="2"/>
      <x:c r="K34" s="2"/>
      <x:c r="L34" s="2"/>
    </x:row>
    <x:row r="35" ht="28" customHeight="1">
      <x:c r="A35" s="23"/>
      <x:c r="B35" s="26"/>
      <x:c r="C35" s="26"/>
      <x:c r="D35" s="27"/>
      <x:c r="E35" s="27"/>
      <x:c r="F35" s="26"/>
      <x:c r="G35" s="28"/>
      <x:c r="H35" s="2"/>
      <x:c r="I35" s="2"/>
      <x:c r="J35" s="2"/>
      <x:c r="K35" s="2"/>
      <x:c r="L35" s="2"/>
    </x:row>
    <x:row r="36" ht="28" customHeight="1">
      <x:c r="A36" s="23"/>
      <x:c r="B36" s="26"/>
      <x:c r="C36" s="26"/>
      <x:c r="D36" s="27"/>
      <x:c r="E36" s="27"/>
      <x:c r="F36" s="26"/>
      <x:c r="G36" s="28"/>
      <x:c r="H36" s="2"/>
      <x:c r="I36" s="2"/>
      <x:c r="J36" s="2"/>
      <x:c r="K36" s="2"/>
      <x:c r="L36" s="2"/>
    </x:row>
    <x:row r="37" ht="28" customHeight="1">
      <x:c r="A37" s="23"/>
      <x:c r="B37" s="26"/>
      <x:c r="C37" s="26"/>
      <x:c r="D37" s="27"/>
      <x:c r="E37" s="27"/>
      <x:c r="F37" s="26"/>
      <x:c r="G37" s="28"/>
      <x:c r="H37" s="2"/>
      <x:c r="I37" s="2"/>
      <x:c r="J37" s="2"/>
      <x:c r="K37" s="2"/>
      <x:c r="L37" s="2"/>
    </x:row>
    <x:row r="38" ht="28" customHeight="1">
      <x:c r="A38" s="23"/>
      <x:c r="B38" s="26"/>
      <x:c r="C38" s="26"/>
      <x:c r="D38" s="27"/>
      <x:c r="E38" s="27"/>
      <x:c r="F38" s="26"/>
      <x:c r="G38" s="28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14" t="str">
        <x:v>운영 현황 확인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32" customHeight="1">
      <x:c r="A42" s="7" t="str">
        <x:v>확인할 내용</x:v>
      </x:c>
      <x:c r="B42" s="7" t="str">
        <x:v>직접 구한 답</x:v>
      </x:c>
      <x:c r="C42" s="7" t="str">
        <x:v>단위</x:v>
      </x:c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 t="str">
        <x:v>총 판매수량</x:v>
      </x:c>
      <x:c r="B43" s="25"/>
      <x:c r="C43" s="2" t="str">
        <x:v>개</x:v>
      </x:c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 t="str">
        <x:v>발송대기 주문</x:v>
      </x:c>
      <x:c r="B44" s="25"/>
      <x:c r="C44" s="2" t="str">
        <x:v>건</x:v>
      </x:c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 t="str">
        <x:v>가장 큰 주문이익</x:v>
      </x:c>
      <x:c r="B45" s="25"/>
      <x:c r="C45" s="2" t="str">
        <x:v>원</x:v>
      </x:c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 t="str">
        <x:v>머그컵 상품매출</x:v>
      </x:c>
      <x:c r="B46" s="25"/>
      <x:c r="C46" s="2" t="str">
        <x:v>원</x:v>
      </x:c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 t="str">
        <x:v>손해 난 주문</x:v>
      </x:c>
      <x:c r="B47" s="25"/>
      <x:c r="C47" s="2" t="str">
        <x:v>건</x:v>
      </x:c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5" customHeight="1">
      <x:c r="A49" s="16" t="str">
        <x:v>금액 단위: 원. 모든 주문은 가상 자료이며 취소·반품은 없는 연습 상황입니다.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5" customHeight="1">
      <x:c r="A50" s="16" t="str">
        <x:v>수수료는 주문별로 제시한 연습용 금액입니다. 스마트스토어 실제 요율이 아닙니다.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5" customHeight="1">
      <x:c r="A51" s="16" t="str">
        <x:v>배송부담 = 고객에게 받은 배송비를 뺀 판매자 부담액. 포장비도 포함한 것으로 가정합니다.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5" customHeight="1">
      <x:c r="A52" s="16" t="str">
        <x:v>예상이익 = 상품매출 - 매입합계 - 수수료 - 배송부담. 광고비·세금·고정비는 포함하지 않습니다.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5" customHeight="1">
      <x:c r="A54" s="14" t="str">
        <x:v>계산 방법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5" customHeight="1">
      <x:c r="A55" s="2" t="str">
        <x:v>상품매출 = 수량 × 판매단가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5" customHeight="1">
      <x:c r="A56" s="2" t="str">
        <x:v>매입합계 = 수량 × 매입단가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5" customHeight="1">
      <x:c r="A57" s="2" t="str">
        <x:v>예상이익 = 상품매출 - 매입합계 - 수수료 - 배송부담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5" customHeight="1">
      <x:c r="A58" s="2" t="str">
        <x:v>판매수량 = 주문표에서 같은 상품의 수량 합계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5" customHeight="1">
      <x:c r="A59" s="2" t="str">
        <x:v>남은재고 = 기초재고 + 입고수량 - 판매수량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5" customHeight="1">
      <x:c r="A60" s="2" t="str">
        <x:v>남은재고가 추가입고 기준 이하이면 “추가입고”, 아니면 “여유”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5" customHeight="1">
      <x:c r="A61" s="2" t="str">
        <x:v>정렬할 때는 주문표 전체가 함께 움직이도록 표의 필터 버튼을 사용하세요.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</x:sheetData>
  <x:conditionalFormatting sqref="G34:G38">
    <x:cfRule type="containsText" dxfId="0" priority="1" operator="containsText" text="추가입고"/>
  </x:conditionalFormatting>
  <x:conditionalFormatting sqref="K7:K26">
    <x:cfRule type="cellIs" dxfId="1" priority="2" operator="lessThan">
      <x:formula>0</x:formula>
    </x:cfRule>
  </x:conditionalFormatting>
  <x:dataValidations count="1">
    <x:dataValidation type="list" sqref="L7:L26">
      <x:formula1>"발송대기,발송완료"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12b8363484653"/>
  </x:tableParts>
</x:worksheet>
</file>

<file path=xl/worksheets/sheet3.xml><?xml version="1.0" encoding="utf-8"?>
<x:worksheet xmlns:x="http://schemas.openxmlformats.org/spreadsheetml/2006/main">
  <x:sheetPr>
    <x:tabColor rgb="FF294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8" hidden="0" customWidth="1"/>
    <x:col min="4" max="4" width="8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스마트스토어 운영 연습 · 정답 확인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기본 주문 15건의 정답입니다. 내 주문을 추가했다면 합계와 재고가 이 정답과 달라집니다.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7" t="str">
        <x:v>주문일</x:v>
      </x:c>
      <x:c r="B6" s="7" t="str">
        <x:v>주문번호</x:v>
      </x:c>
      <x:c r="C6" s="7" t="str">
        <x:v>상품명</x:v>
      </x:c>
      <x:c r="D6" s="7" t="str">
        <x:v>수량</x:v>
      </x:c>
      <x:c r="E6" s="7" t="str">
        <x:v>판매단가</x:v>
      </x:c>
      <x:c r="F6" s="7" t="str">
        <x:v>매입단가</x:v>
      </x:c>
      <x:c r="G6" s="7" t="str">
        <x:v>상품매출</x:v>
      </x:c>
      <x:c r="H6" s="7" t="str">
        <x:v>매입합계</x:v>
      </x:c>
      <x:c r="I6" s="7" t="str">
        <x:v>수수료</x:v>
      </x:c>
      <x:c r="J6" s="7" t="str">
        <x:v>배송부담</x:v>
      </x:c>
      <x:c r="K6" s="7" t="str">
        <x:v>예상이익</x:v>
      </x:c>
      <x:c r="L6" s="7" t="str">
        <x:v>발송상태</x:v>
      </x:c>
    </x:row>
    <x:row r="7" ht="28" customHeight="1">
      <x:c r="A7" s="17" t="d">
        <x:v>2026-10-01T00:00:00.000Z</x:v>
      </x:c>
      <x:c r="B7" s="18" t="str">
        <x:v>S001</x:v>
      </x:c>
      <x:c r="C7" s="18" t="str">
        <x:v>머그컵</x:v>
      </x:c>
      <x:c r="D7" s="19" t="n">
        <x:v>1</x:v>
      </x:c>
      <x:c r="E7" s="19" t="n">
        <x:v>12000</x:v>
      </x:c>
      <x:c r="F7" s="19" t="n">
        <x:v>6500</x:v>
      </x:c>
      <x:c r="G7" s="25" t="n">
        <x:f>IF(C7="","",D7*E7)</x:f>
        <x:v>12000</x:v>
      </x:c>
      <x:c r="H7" s="25" t="n">
        <x:f>IF(C7="","",D7*F7)</x:f>
        <x:v>6500</x:v>
      </x:c>
      <x:c r="I7" s="19" t="n">
        <x:v>600</x:v>
      </x:c>
      <x:c r="J7" s="19" t="n">
        <x:v>3000</x:v>
      </x:c>
      <x:c r="K7" s="25" t="n">
        <x:f>IF(C7="","",G7-H7-I7-J7)</x:f>
        <x:v>1900</x:v>
      </x:c>
      <x:c r="L7" s="18" t="str">
        <x:v>발송완료</x:v>
      </x:c>
    </x:row>
    <x:row r="8" ht="28" customHeight="1">
      <x:c r="A8" s="17" t="d">
        <x:v>2026-10-01T00:00:00.000Z</x:v>
      </x:c>
      <x:c r="B8" s="18" t="str">
        <x:v>S002</x:v>
      </x:c>
      <x:c r="C8" s="18" t="str">
        <x:v>수건세트</x:v>
      </x:c>
      <x:c r="D8" s="19" t="n">
        <x:v>2</x:v>
      </x:c>
      <x:c r="E8" s="19" t="n">
        <x:v>18000</x:v>
      </x:c>
      <x:c r="F8" s="19" t="n">
        <x:v>10000</x:v>
      </x:c>
      <x:c r="G8" s="25" t="n">
        <x:f>IF(C8="","",D8*E8)</x:f>
        <x:v>36000</x:v>
      </x:c>
      <x:c r="H8" s="25" t="n">
        <x:f>IF(C8="","",D8*F8)</x:f>
        <x:v>20000</x:v>
      </x:c>
      <x:c r="I8" s="19" t="n">
        <x:v>1800</x:v>
      </x:c>
      <x:c r="J8" s="19" t="n">
        <x:v>0</x:v>
      </x:c>
      <x:c r="K8" s="25" t="n">
        <x:f>IF(C8="","",G8-H8-I8-J8)</x:f>
        <x:v>14200</x:v>
      </x:c>
      <x:c r="L8" s="18" t="str">
        <x:v>발송완료</x:v>
      </x:c>
    </x:row>
    <x:row r="9" ht="28" customHeight="1">
      <x:c r="A9" s="17" t="d">
        <x:v>2026-10-01T00:00:00.000Z</x:v>
      </x:c>
      <x:c r="B9" s="18" t="str">
        <x:v>S003</x:v>
      </x:c>
      <x:c r="C9" s="18" t="str">
        <x:v>에코백</x:v>
      </x:c>
      <x:c r="D9" s="19" t="n">
        <x:v>1</x:v>
      </x:c>
      <x:c r="E9" s="19" t="n">
        <x:v>15000</x:v>
      </x:c>
      <x:c r="F9" s="19" t="n">
        <x:v>8000</x:v>
      </x:c>
      <x:c r="G9" s="25" t="n">
        <x:f>IF(C9="","",D9*E9)</x:f>
        <x:v>15000</x:v>
      </x:c>
      <x:c r="H9" s="25" t="n">
        <x:f>IF(C9="","",D9*F9)</x:f>
        <x:v>8000</x:v>
      </x:c>
      <x:c r="I9" s="19" t="n">
        <x:v>750</x:v>
      </x:c>
      <x:c r="J9" s="19" t="n">
        <x:v>3000</x:v>
      </x:c>
      <x:c r="K9" s="25" t="n">
        <x:f>IF(C9="","",G9-H9-I9-J9)</x:f>
        <x:v>3250</x:v>
      </x:c>
      <x:c r="L9" s="18" t="str">
        <x:v>발송완료</x:v>
      </x:c>
    </x:row>
    <x:row r="10" ht="28" customHeight="1">
      <x:c r="A10" s="17" t="d">
        <x:v>2026-10-02T00:00:00.000Z</x:v>
      </x:c>
      <x:c r="B10" s="18" t="str">
        <x:v>S004</x:v>
      </x:c>
      <x:c r="C10" s="18" t="str">
        <x:v>텀블러</x:v>
      </x:c>
      <x:c r="D10" s="19" t="n">
        <x:v>1</x:v>
      </x:c>
      <x:c r="E10" s="19" t="n">
        <x:v>22000</x:v>
      </x:c>
      <x:c r="F10" s="19" t="n">
        <x:v>13000</x:v>
      </x:c>
      <x:c r="G10" s="25" t="n">
        <x:f>IF(C10="","",D10*E10)</x:f>
        <x:v>22000</x:v>
      </x:c>
      <x:c r="H10" s="25" t="n">
        <x:f>IF(C10="","",D10*F10)</x:f>
        <x:v>13000</x:v>
      </x:c>
      <x:c r="I10" s="19" t="n">
        <x:v>1100</x:v>
      </x:c>
      <x:c r="J10" s="19" t="n">
        <x:v>0</x:v>
      </x:c>
      <x:c r="K10" s="25" t="n">
        <x:f>IF(C10="","",G10-H10-I10-J10)</x:f>
        <x:v>7900</x:v>
      </x:c>
      <x:c r="L10" s="18" t="str">
        <x:v>발송완료</x:v>
      </x:c>
    </x:row>
    <x:row r="11" ht="28" customHeight="1">
      <x:c r="A11" s="17" t="d">
        <x:v>2026-10-02T00:00:00.000Z</x:v>
      </x:c>
      <x:c r="B11" s="18" t="str">
        <x:v>S005</x:v>
      </x:c>
      <x:c r="C11" s="18" t="str">
        <x:v>수세미세트</x:v>
      </x:c>
      <x:c r="D11" s="19" t="n">
        <x:v>3</x:v>
      </x:c>
      <x:c r="E11" s="19" t="n">
        <x:v>6000</x:v>
      </x:c>
      <x:c r="F11" s="19" t="n">
        <x:v>2500</x:v>
      </x:c>
      <x:c r="G11" s="25" t="n">
        <x:f>IF(C11="","",D11*E11)</x:f>
        <x:v>18000</x:v>
      </x:c>
      <x:c r="H11" s="25" t="n">
        <x:f>IF(C11="","",D11*F11)</x:f>
        <x:v>7500</x:v>
      </x:c>
      <x:c r="I11" s="19" t="n">
        <x:v>900</x:v>
      </x:c>
      <x:c r="J11" s="19" t="n">
        <x:v>3000</x:v>
      </x:c>
      <x:c r="K11" s="25" t="n">
        <x:f>IF(C11="","",G11-H11-I11-J11)</x:f>
        <x:v>6600</x:v>
      </x:c>
      <x:c r="L11" s="18" t="str">
        <x:v>발송완료</x:v>
      </x:c>
    </x:row>
    <x:row r="12" ht="28" customHeight="1">
      <x:c r="A12" s="17" t="d">
        <x:v>2026-10-02T00:00:00.000Z</x:v>
      </x:c>
      <x:c r="B12" s="18" t="str">
        <x:v>S006</x:v>
      </x:c>
      <x:c r="C12" s="18" t="str">
        <x:v>머그컵</x:v>
      </x:c>
      <x:c r="D12" s="19" t="n">
        <x:v>2</x:v>
      </x:c>
      <x:c r="E12" s="19" t="n">
        <x:v>12000</x:v>
      </x:c>
      <x:c r="F12" s="19" t="n">
        <x:v>6500</x:v>
      </x:c>
      <x:c r="G12" s="25" t="n">
        <x:f>IF(C12="","",D12*E12)</x:f>
        <x:v>24000</x:v>
      </x:c>
      <x:c r="H12" s="25" t="n">
        <x:f>IF(C12="","",D12*F12)</x:f>
        <x:v>13000</x:v>
      </x:c>
      <x:c r="I12" s="19" t="n">
        <x:v>1200</x:v>
      </x:c>
      <x:c r="J12" s="19" t="n">
        <x:v>0</x:v>
      </x:c>
      <x:c r="K12" s="25" t="n">
        <x:f>IF(C12="","",G12-H12-I12-J12)</x:f>
        <x:v>9800</x:v>
      </x:c>
      <x:c r="L12" s="18" t="str">
        <x:v>발송완료</x:v>
      </x:c>
    </x:row>
    <x:row r="13" ht="28" customHeight="1">
      <x:c r="A13" s="17" t="d">
        <x:v>2026-10-03T00:00:00.000Z</x:v>
      </x:c>
      <x:c r="B13" s="18" t="str">
        <x:v>S007</x:v>
      </x:c>
      <x:c r="C13" s="18" t="str">
        <x:v>수건세트</x:v>
      </x:c>
      <x:c r="D13" s="19" t="n">
        <x:v>1</x:v>
      </x:c>
      <x:c r="E13" s="19" t="n">
        <x:v>18000</x:v>
      </x:c>
      <x:c r="F13" s="19" t="n">
        <x:v>10000</x:v>
      </x:c>
      <x:c r="G13" s="25" t="n">
        <x:f>IF(C13="","",D13*E13)</x:f>
        <x:v>18000</x:v>
      </x:c>
      <x:c r="H13" s="25" t="n">
        <x:f>IF(C13="","",D13*F13)</x:f>
        <x:v>10000</x:v>
      </x:c>
      <x:c r="I13" s="19" t="n">
        <x:v>900</x:v>
      </x:c>
      <x:c r="J13" s="19" t="n">
        <x:v>3000</x:v>
      </x:c>
      <x:c r="K13" s="25" t="n">
        <x:f>IF(C13="","",G13-H13-I13-J13)</x:f>
        <x:v>4100</x:v>
      </x:c>
      <x:c r="L13" s="18" t="str">
        <x:v>발송대기</x:v>
      </x:c>
    </x:row>
    <x:row r="14" ht="28" customHeight="1">
      <x:c r="A14" s="17" t="d">
        <x:v>2026-10-03T00:00:00.000Z</x:v>
      </x:c>
      <x:c r="B14" s="18" t="str">
        <x:v>S008</x:v>
      </x:c>
      <x:c r="C14" s="18" t="str">
        <x:v>에코백</x:v>
      </x:c>
      <x:c r="D14" s="19" t="n">
        <x:v>2</x:v>
      </x:c>
      <x:c r="E14" s="19" t="n">
        <x:v>15000</x:v>
      </x:c>
      <x:c r="F14" s="19" t="n">
        <x:v>8000</x:v>
      </x:c>
      <x:c r="G14" s="25" t="n">
        <x:f>IF(C14="","",D14*E14)</x:f>
        <x:v>30000</x:v>
      </x:c>
      <x:c r="H14" s="25" t="n">
        <x:f>IF(C14="","",D14*F14)</x:f>
        <x:v>16000</x:v>
      </x:c>
      <x:c r="I14" s="19" t="n">
        <x:v>1500</x:v>
      </x:c>
      <x:c r="J14" s="19" t="n">
        <x:v>0</x:v>
      </x:c>
      <x:c r="K14" s="25" t="n">
        <x:f>IF(C14="","",G14-H14-I14-J14)</x:f>
        <x:v>12500</x:v>
      </x:c>
      <x:c r="L14" s="18" t="str">
        <x:v>발송완료</x:v>
      </x:c>
    </x:row>
    <x:row r="15" ht="28" customHeight="1">
      <x:c r="A15" s="17" t="d">
        <x:v>2026-10-03T00:00:00.000Z</x:v>
      </x:c>
      <x:c r="B15" s="18" t="str">
        <x:v>S009</x:v>
      </x:c>
      <x:c r="C15" s="18" t="str">
        <x:v>텀블러</x:v>
      </x:c>
      <x:c r="D15" s="19" t="n">
        <x:v>2</x:v>
      </x:c>
      <x:c r="E15" s="19" t="n">
        <x:v>22000</x:v>
      </x:c>
      <x:c r="F15" s="19" t="n">
        <x:v>13000</x:v>
      </x:c>
      <x:c r="G15" s="25" t="n">
        <x:f>IF(C15="","",D15*E15)</x:f>
        <x:v>44000</x:v>
      </x:c>
      <x:c r="H15" s="25" t="n">
        <x:f>IF(C15="","",D15*F15)</x:f>
        <x:v>26000</x:v>
      </x:c>
      <x:c r="I15" s="19" t="n">
        <x:v>2200</x:v>
      </x:c>
      <x:c r="J15" s="19" t="n">
        <x:v>0</x:v>
      </x:c>
      <x:c r="K15" s="25" t="n">
        <x:f>IF(C15="","",G15-H15-I15-J15)</x:f>
        <x:v>15800</x:v>
      </x:c>
      <x:c r="L15" s="18" t="str">
        <x:v>발송대기</x:v>
      </x:c>
    </x:row>
    <x:row r="16" ht="28" customHeight="1">
      <x:c r="A16" s="17" t="d">
        <x:v>2026-10-04T00:00:00.000Z</x:v>
      </x:c>
      <x:c r="B16" s="18" t="str">
        <x:v>S010</x:v>
      </x:c>
      <x:c r="C16" s="18" t="str">
        <x:v>수세미세트</x:v>
      </x:c>
      <x:c r="D16" s="19" t="n">
        <x:v>1</x:v>
      </x:c>
      <x:c r="E16" s="19" t="n">
        <x:v>6000</x:v>
      </x:c>
      <x:c r="F16" s="19" t="n">
        <x:v>2500</x:v>
      </x:c>
      <x:c r="G16" s="25" t="n">
        <x:f>IF(C16="","",D16*E16)</x:f>
        <x:v>6000</x:v>
      </x:c>
      <x:c r="H16" s="25" t="n">
        <x:f>IF(C16="","",D16*F16)</x:f>
        <x:v>2500</x:v>
      </x:c>
      <x:c r="I16" s="19" t="n">
        <x:v>300</x:v>
      </x:c>
      <x:c r="J16" s="19" t="n">
        <x:v>4000</x:v>
      </x:c>
      <x:c r="K16" s="25" t="n">
        <x:f>IF(C16="","",G16-H16-I16-J16)</x:f>
        <x:v>-800</x:v>
      </x:c>
      <x:c r="L16" s="18" t="str">
        <x:v>발송완료</x:v>
      </x:c>
    </x:row>
    <x:row r="17" ht="28" customHeight="1">
      <x:c r="A17" s="17" t="d">
        <x:v>2026-10-04T00:00:00.000Z</x:v>
      </x:c>
      <x:c r="B17" s="18" t="str">
        <x:v>S011</x:v>
      </x:c>
      <x:c r="C17" s="18" t="str">
        <x:v>머그컵</x:v>
      </x:c>
      <x:c r="D17" s="19" t="n">
        <x:v>1</x:v>
      </x:c>
      <x:c r="E17" s="19" t="n">
        <x:v>12000</x:v>
      </x:c>
      <x:c r="F17" s="19" t="n">
        <x:v>6500</x:v>
      </x:c>
      <x:c r="G17" s="25" t="n">
        <x:f>IF(C17="","",D17*E17)</x:f>
        <x:v>12000</x:v>
      </x:c>
      <x:c r="H17" s="25" t="n">
        <x:f>IF(C17="","",D17*F17)</x:f>
        <x:v>6500</x:v>
      </x:c>
      <x:c r="I17" s="19" t="n">
        <x:v>600</x:v>
      </x:c>
      <x:c r="J17" s="19" t="n">
        <x:v>3000</x:v>
      </x:c>
      <x:c r="K17" s="25" t="n">
        <x:f>IF(C17="","",G17-H17-I17-J17)</x:f>
        <x:v>1900</x:v>
      </x:c>
      <x:c r="L17" s="18" t="str">
        <x:v>발송대기</x:v>
      </x:c>
    </x:row>
    <x:row r="18" ht="28" customHeight="1">
      <x:c r="A18" s="17" t="d">
        <x:v>2026-10-04T00:00:00.000Z</x:v>
      </x:c>
      <x:c r="B18" s="18" t="str">
        <x:v>S012</x:v>
      </x:c>
      <x:c r="C18" s="18" t="str">
        <x:v>수건세트</x:v>
      </x:c>
      <x:c r="D18" s="19" t="n">
        <x:v>3</x:v>
      </x:c>
      <x:c r="E18" s="19" t="n">
        <x:v>18000</x:v>
      </x:c>
      <x:c r="F18" s="19" t="n">
        <x:v>10000</x:v>
      </x:c>
      <x:c r="G18" s="25" t="n">
        <x:f>IF(C18="","",D18*E18)</x:f>
        <x:v>54000</x:v>
      </x:c>
      <x:c r="H18" s="25" t="n">
        <x:f>IF(C18="","",D18*F18)</x:f>
        <x:v>30000</x:v>
      </x:c>
      <x:c r="I18" s="19" t="n">
        <x:v>2700</x:v>
      </x:c>
      <x:c r="J18" s="19" t="n">
        <x:v>0</x:v>
      </x:c>
      <x:c r="K18" s="25" t="n">
        <x:f>IF(C18="","",G18-H18-I18-J18)</x:f>
        <x:v>21300</x:v>
      </x:c>
      <x:c r="L18" s="18" t="str">
        <x:v>발송완료</x:v>
      </x:c>
    </x:row>
    <x:row r="19" ht="28" customHeight="1">
      <x:c r="A19" s="17" t="d">
        <x:v>2026-10-05T00:00:00.000Z</x:v>
      </x:c>
      <x:c r="B19" s="18" t="str">
        <x:v>S013</x:v>
      </x:c>
      <x:c r="C19" s="18" t="str">
        <x:v>에코백</x:v>
      </x:c>
      <x:c r="D19" s="19" t="n">
        <x:v>1</x:v>
      </x:c>
      <x:c r="E19" s="19" t="n">
        <x:v>15000</x:v>
      </x:c>
      <x:c r="F19" s="19" t="n">
        <x:v>8000</x:v>
      </x:c>
      <x:c r="G19" s="25" t="n">
        <x:f>IF(C19="","",D19*E19)</x:f>
        <x:v>15000</x:v>
      </x:c>
      <x:c r="H19" s="25" t="n">
        <x:f>IF(C19="","",D19*F19)</x:f>
        <x:v>8000</x:v>
      </x:c>
      <x:c r="I19" s="19" t="n">
        <x:v>750</x:v>
      </x:c>
      <x:c r="J19" s="19" t="n">
        <x:v>3000</x:v>
      </x:c>
      <x:c r="K19" s="25" t="n">
        <x:f>IF(C19="","",G19-H19-I19-J19)</x:f>
        <x:v>3250</x:v>
      </x:c>
      <x:c r="L19" s="18" t="str">
        <x:v>발송대기</x:v>
      </x:c>
    </x:row>
    <x:row r="20" ht="28" customHeight="1">
      <x:c r="A20" s="17" t="d">
        <x:v>2026-10-05T00:00:00.000Z</x:v>
      </x:c>
      <x:c r="B20" s="18" t="str">
        <x:v>S014</x:v>
      </x:c>
      <x:c r="C20" s="18" t="str">
        <x:v>텀블러</x:v>
      </x:c>
      <x:c r="D20" s="19" t="n">
        <x:v>1</x:v>
      </x:c>
      <x:c r="E20" s="19" t="n">
        <x:v>22000</x:v>
      </x:c>
      <x:c r="F20" s="19" t="n">
        <x:v>13000</x:v>
      </x:c>
      <x:c r="G20" s="25" t="n">
        <x:f>IF(C20="","",D20*E20)</x:f>
        <x:v>22000</x:v>
      </x:c>
      <x:c r="H20" s="25" t="n">
        <x:f>IF(C20="","",D20*F20)</x:f>
        <x:v>13000</x:v>
      </x:c>
      <x:c r="I20" s="19" t="n">
        <x:v>1100</x:v>
      </x:c>
      <x:c r="J20" s="19" t="n">
        <x:v>3000</x:v>
      </x:c>
      <x:c r="K20" s="25" t="n">
        <x:f>IF(C20="","",G20-H20-I20-J20)</x:f>
        <x:v>4900</x:v>
      </x:c>
      <x:c r="L20" s="18" t="str">
        <x:v>발송완료</x:v>
      </x:c>
    </x:row>
    <x:row r="21" ht="28" customHeight="1">
      <x:c r="A21" s="17" t="d">
        <x:v>2026-10-05T00:00:00.000Z</x:v>
      </x:c>
      <x:c r="B21" s="18" t="str">
        <x:v>S015</x:v>
      </x:c>
      <x:c r="C21" s="18" t="str">
        <x:v>수세미세트</x:v>
      </x:c>
      <x:c r="D21" s="19" t="n">
        <x:v>2</x:v>
      </x:c>
      <x:c r="E21" s="19" t="n">
        <x:v>6000</x:v>
      </x:c>
      <x:c r="F21" s="19" t="n">
        <x:v>2500</x:v>
      </x:c>
      <x:c r="G21" s="25" t="n">
        <x:f>IF(C21="","",D21*E21)</x:f>
        <x:v>12000</x:v>
      </x:c>
      <x:c r="H21" s="25" t="n">
        <x:f>IF(C21="","",D21*F21)</x:f>
        <x:v>5000</x:v>
      </x:c>
      <x:c r="I21" s="19" t="n">
        <x:v>600</x:v>
      </x:c>
      <x:c r="J21" s="19" t="n">
        <x:v>3000</x:v>
      </x:c>
      <x:c r="K21" s="25" t="n">
        <x:f>IF(C21="","",G21-H21-I21-J21)</x:f>
        <x:v>3400</x:v>
      </x:c>
      <x:c r="L21" s="18" t="str">
        <x:v>발송대기</x:v>
      </x:c>
    </x:row>
    <x:row r="22" ht="28" customHeight="1">
      <x:c r="A22" s="17"/>
      <x:c r="B22" s="18"/>
      <x:c r="C22" s="18"/>
      <x:c r="D22" s="19"/>
      <x:c r="E22" s="19"/>
      <x:c r="F22" s="19"/>
      <x:c r="G22" s="25" t="str">
        <x:f>IF(C22="","",D22*E22)</x:f>
      </x:c>
      <x:c r="H22" s="25" t="str">
        <x:f>IF(C22="","",D22*F22)</x:f>
      </x:c>
      <x:c r="I22" s="19"/>
      <x:c r="J22" s="19"/>
      <x:c r="K22" s="25" t="str">
        <x:f>IF(C22="","",G22-H22-I22-J22)</x:f>
      </x:c>
      <x:c r="L22" s="18"/>
    </x:row>
    <x:row r="23" ht="28" customHeight="1">
      <x:c r="A23" s="17"/>
      <x:c r="B23" s="18"/>
      <x:c r="C23" s="18"/>
      <x:c r="D23" s="19"/>
      <x:c r="E23" s="19"/>
      <x:c r="F23" s="19"/>
      <x:c r="G23" s="25" t="str">
        <x:f>IF(C23="","",D23*E23)</x:f>
      </x:c>
      <x:c r="H23" s="25" t="str">
        <x:f>IF(C23="","",D23*F23)</x:f>
      </x:c>
      <x:c r="I23" s="19"/>
      <x:c r="J23" s="19"/>
      <x:c r="K23" s="25" t="str">
        <x:f>IF(C23="","",G23-H23-I23-J23)</x:f>
      </x:c>
      <x:c r="L23" s="18"/>
    </x:row>
    <x:row r="24" ht="28" customHeight="1">
      <x:c r="A24" s="17"/>
      <x:c r="B24" s="18"/>
      <x:c r="C24" s="18"/>
      <x:c r="D24" s="19"/>
      <x:c r="E24" s="19"/>
      <x:c r="F24" s="19"/>
      <x:c r="G24" s="25" t="str">
        <x:f>IF(C24="","",D24*E24)</x:f>
      </x:c>
      <x:c r="H24" s="25" t="str">
        <x:f>IF(C24="","",D24*F24)</x:f>
      </x:c>
      <x:c r="I24" s="19"/>
      <x:c r="J24" s="19"/>
      <x:c r="K24" s="25" t="str">
        <x:f>IF(C24="","",G24-H24-I24-J24)</x:f>
      </x:c>
      <x:c r="L24" s="18"/>
    </x:row>
    <x:row r="25" ht="28" customHeight="1">
      <x:c r="A25" s="17"/>
      <x:c r="B25" s="18"/>
      <x:c r="C25" s="18"/>
      <x:c r="D25" s="19"/>
      <x:c r="E25" s="19"/>
      <x:c r="F25" s="19"/>
      <x:c r="G25" s="25" t="str">
        <x:f>IF(C25="","",D25*E25)</x:f>
      </x:c>
      <x:c r="H25" s="25" t="str">
        <x:f>IF(C25="","",D25*F25)</x:f>
      </x:c>
      <x:c r="I25" s="19"/>
      <x:c r="J25" s="19"/>
      <x:c r="K25" s="25" t="str">
        <x:f>IF(C25="","",G25-H25-I25-J25)</x:f>
      </x:c>
      <x:c r="L25" s="18"/>
    </x:row>
    <x:row r="26" ht="28" customHeight="1">
      <x:c r="A26" s="17"/>
      <x:c r="B26" s="18"/>
      <x:c r="C26" s="18"/>
      <x:c r="D26" s="19"/>
      <x:c r="E26" s="19"/>
      <x:c r="F26" s="19"/>
      <x:c r="G26" s="25" t="str">
        <x:f>IF(C26="","",D26*E26)</x:f>
      </x:c>
      <x:c r="H26" s="25" t="str">
        <x:f>IF(C26="","",D26*F26)</x:f>
      </x:c>
      <x:c r="I26" s="19"/>
      <x:c r="J26" s="19"/>
      <x:c r="K26" s="25" t="str">
        <x:f>IF(C26="","",G26-H26-I26-J26)</x:f>
      </x:c>
      <x:c r="L26" s="18"/>
    </x:row>
    <x:row r="27" ht="25" customHeight="1">
      <x:c r="A27" s="2"/>
      <x:c r="B27" s="2"/>
      <x:c r="C27" s="2"/>
      <x:c r="D27" s="9"/>
      <x:c r="E27" s="9"/>
      <x:c r="F27" s="9"/>
      <x:c r="G27" s="9"/>
      <x:c r="H27" s="9"/>
      <x:c r="I27" s="9"/>
      <x:c r="J27" s="9"/>
      <x:c r="K27" s="9"/>
      <x:c r="L27" s="2"/>
    </x:row>
    <x:row r="28" ht="25" customHeight="1">
      <x:c r="A28" s="12" t="str">
        <x:v>합계</x:v>
      </x:c>
      <x:c r="B28" s="12"/>
      <x:c r="C28" s="12"/>
      <x:c r="D28" s="13" t="n">
        <x:f>SUM(D7:D26)</x:f>
        <x:v>24</x:v>
      </x:c>
      <x:c r="E28" s="13"/>
      <x:c r="F28" s="13"/>
      <x:c r="G28" s="13" t="n">
        <x:f>SUM(G7:G26)</x:f>
        <x:v>340000</x:v>
      </x:c>
      <x:c r="H28" s="13" t="n">
        <x:f>SUM(H7:H26)</x:f>
        <x:v>185000</x:v>
      </x:c>
      <x:c r="I28" s="13" t="n">
        <x:f>SUM(I7:I26)</x:f>
        <x:v>17000</x:v>
      </x:c>
      <x:c r="J28" s="13" t="n">
        <x:f>SUM(J7:J26)</x:f>
        <x:v>28000</x:v>
      </x:c>
      <x:c r="K28" s="13" t="n">
        <x:f>SUM(K7:K26)</x:f>
        <x:v>110000</x:v>
      </x:c>
      <x:c r="L28" s="1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14" t="str">
        <x:v>재고 관리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 t="str">
        <x:v>발송대기도 판매수량에 포함. 남은 재고는 새 주문을 받을 수 있는 수량입니다.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2" customHeight="1">
      <x:c r="A33" s="7" t="str">
        <x:v>상품명</x:v>
      </x:c>
      <x:c r="B33" s="7" t="str">
        <x:v>기초재고</x:v>
      </x:c>
      <x:c r="C33" s="7" t="str">
        <x:v>입고수량</x:v>
      </x:c>
      <x:c r="D33" s="7" t="str">
        <x:v>판매수량</x:v>
      </x:c>
      <x:c r="E33" s="7" t="str">
        <x:v>남은재고</x:v>
      </x:c>
      <x:c r="F33" s="7" t="str">
        <x:v>추가입고 기준</x:v>
      </x:c>
      <x:c r="G33" s="7" t="str">
        <x:v>입고판단</x:v>
      </x:c>
      <x:c r="H33" s="2"/>
      <x:c r="I33" s="2"/>
      <x:c r="J33" s="2"/>
      <x:c r="K33" s="2"/>
      <x:c r="L33" s="2"/>
    </x:row>
    <x:row r="34" ht="28" customHeight="1">
      <x:c r="A34" s="18" t="str">
        <x:v>머그컵</x:v>
      </x:c>
      <x:c r="B34" s="20" t="n">
        <x:v>10</x:v>
      </x:c>
      <x:c r="C34" s="20" t="n">
        <x:v>0</x:v>
      </x:c>
      <x:c r="D34" s="27" t="n">
        <x:f>SUMIFS($D$7:$D$26,$C$7:$C$26,A34)</x:f>
        <x:v>4</x:v>
      </x:c>
      <x:c r="E34" s="27" t="n">
        <x:f>B34+C34-D34</x:f>
        <x:v>6</x:v>
      </x:c>
      <x:c r="F34" s="20" t="n">
        <x:v>8</x:v>
      </x:c>
      <x:c r="G34" s="28" t="str">
        <x:f>IF(E34&lt;=F34,"추가입고","여유")</x:f>
        <x:v>추가입고</x:v>
      </x:c>
      <x:c r="H34" s="2"/>
      <x:c r="I34" s="2"/>
      <x:c r="J34" s="2"/>
      <x:c r="K34" s="2"/>
      <x:c r="L34" s="2"/>
    </x:row>
    <x:row r="35" ht="28" customHeight="1">
      <x:c r="A35" s="18" t="str">
        <x:v>수건세트</x:v>
      </x:c>
      <x:c r="B35" s="20" t="n">
        <x:v>25</x:v>
      </x:c>
      <x:c r="C35" s="20" t="n">
        <x:v>5</x:v>
      </x:c>
      <x:c r="D35" s="27" t="n">
        <x:f>SUMIFS($D$7:$D$26,$C$7:$C$26,A35)</x:f>
        <x:v>6</x:v>
      </x:c>
      <x:c r="E35" s="27" t="n">
        <x:f>B35+C35-D35</x:f>
        <x:v>24</x:v>
      </x:c>
      <x:c r="F35" s="20" t="n">
        <x:v>8</x:v>
      </x:c>
      <x:c r="G35" s="28" t="str">
        <x:f>IF(E35&lt;=F35,"추가입고","여유")</x:f>
        <x:v>여유</x:v>
      </x:c>
      <x:c r="H35" s="2"/>
      <x:c r="I35" s="2"/>
      <x:c r="J35" s="2"/>
      <x:c r="K35" s="2"/>
      <x:c r="L35" s="2"/>
    </x:row>
    <x:row r="36" ht="28" customHeight="1">
      <x:c r="A36" s="18" t="str">
        <x:v>에코백</x:v>
      </x:c>
      <x:c r="B36" s="20" t="n">
        <x:v>20</x:v>
      </x:c>
      <x:c r="C36" s="20" t="n">
        <x:v>0</x:v>
      </x:c>
      <x:c r="D36" s="27" t="n">
        <x:f>SUMIFS($D$7:$D$26,$C$7:$C$26,A36)</x:f>
        <x:v>4</x:v>
      </x:c>
      <x:c r="E36" s="27" t="n">
        <x:f>B36+C36-D36</x:f>
        <x:v>16</x:v>
      </x:c>
      <x:c r="F36" s="20" t="n">
        <x:v>6</x:v>
      </x:c>
      <x:c r="G36" s="28" t="str">
        <x:f>IF(E36&lt;=F36,"추가입고","여유")</x:f>
        <x:v>여유</x:v>
      </x:c>
      <x:c r="H36" s="2"/>
      <x:c r="I36" s="2"/>
      <x:c r="J36" s="2"/>
      <x:c r="K36" s="2"/>
      <x:c r="L36" s="2"/>
    </x:row>
    <x:row r="37" ht="28" customHeight="1">
      <x:c r="A37" s="18" t="str">
        <x:v>텀블러</x:v>
      </x:c>
      <x:c r="B37" s="20" t="n">
        <x:v>15</x:v>
      </x:c>
      <x:c r="C37" s="20" t="n">
        <x:v>5</x:v>
      </x:c>
      <x:c r="D37" s="27" t="n">
        <x:f>SUMIFS($D$7:$D$26,$C$7:$C$26,A37)</x:f>
        <x:v>4</x:v>
      </x:c>
      <x:c r="E37" s="27" t="n">
        <x:f>B37+C37-D37</x:f>
        <x:v>16</x:v>
      </x:c>
      <x:c r="F37" s="20" t="n">
        <x:v>7</x:v>
      </x:c>
      <x:c r="G37" s="28" t="str">
        <x:f>IF(E37&lt;=F37,"추가입고","여유")</x:f>
        <x:v>여유</x:v>
      </x:c>
      <x:c r="H37" s="2"/>
      <x:c r="I37" s="2"/>
      <x:c r="J37" s="2"/>
      <x:c r="K37" s="2"/>
      <x:c r="L37" s="2"/>
    </x:row>
    <x:row r="38" ht="28" customHeight="1">
      <x:c r="A38" s="18" t="str">
        <x:v>수세미세트</x:v>
      </x:c>
      <x:c r="B38" s="20" t="n">
        <x:v>40</x:v>
      </x:c>
      <x:c r="C38" s="20" t="n">
        <x:v>0</x:v>
      </x:c>
      <x:c r="D38" s="27" t="n">
        <x:f>SUMIFS($D$7:$D$26,$C$7:$C$26,A38)</x:f>
        <x:v>6</x:v>
      </x:c>
      <x:c r="E38" s="27" t="n">
        <x:f>B38+C38-D38</x:f>
        <x:v>34</x:v>
      </x:c>
      <x:c r="F38" s="20" t="n">
        <x:v>10</x:v>
      </x:c>
      <x:c r="G38" s="28" t="str">
        <x:f>IF(E38&lt;=F38,"추가입고","여유")</x:f>
        <x:v>여유</x:v>
      </x:c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14" t="str">
        <x:v>운영 현황 확인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32" customHeight="1">
      <x:c r="A42" s="7" t="str">
        <x:v>확인할 내용</x:v>
      </x:c>
      <x:c r="B42" s="7" t="str">
        <x:v>직접 구한 답</x:v>
      </x:c>
      <x:c r="C42" s="7" t="str">
        <x:v>단위</x:v>
      </x:c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 t="str">
        <x:v>총 판매수량</x:v>
      </x:c>
      <x:c r="B43" s="25" t="n">
        <x:f>SUM(D7:D26)</x:f>
        <x:v>24</x:v>
      </x:c>
      <x:c r="C43" s="2" t="str">
        <x:v>개</x:v>
      </x:c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 t="str">
        <x:v>발송대기 주문</x:v>
      </x:c>
      <x:c r="B44" s="25" t="n">
        <x:f>COUNTIFS(L7:L26,"발송대기")</x:f>
        <x:v>5</x:v>
      </x:c>
      <x:c r="C44" s="2" t="str">
        <x:v>건</x:v>
      </x:c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 t="str">
        <x:v>가장 큰 주문이익</x:v>
      </x:c>
      <x:c r="B45" s="25" t="n">
        <x:f>MAX(K7:K26)</x:f>
        <x:v>21300</x:v>
      </x:c>
      <x:c r="C45" s="2" t="str">
        <x:v>원</x:v>
      </x:c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 t="str">
        <x:v>머그컵 상품매출</x:v>
      </x:c>
      <x:c r="B46" s="25" t="n">
        <x:f>SUMIFS(G7:G26,C7:C26,"머그컵")</x:f>
        <x:v>48000</x:v>
      </x:c>
      <x:c r="C46" s="2" t="str">
        <x:v>원</x:v>
      </x:c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 t="str">
        <x:v>손해 난 주문</x:v>
      </x:c>
      <x:c r="B47" s="25" t="n">
        <x:f>COUNTIFS(K7:K26,"&lt;0")</x:f>
        <x:v>1</x:v>
      </x:c>
      <x:c r="C47" s="2" t="str">
        <x:v>건</x:v>
      </x:c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5" customHeight="1">
      <x:c r="A49" s="16" t="str">
        <x:v>금액 단위: 원. 모든 주문은 가상 자료이며 취소·반품은 없는 연습 상황입니다.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5" customHeight="1">
      <x:c r="A50" s="16" t="str">
        <x:v>수수료는 주문별로 제시한 연습용 금액입니다. 스마트스토어 실제 요율이 아닙니다.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5" customHeight="1">
      <x:c r="A51" s="16" t="str">
        <x:v>배송부담 = 고객에게 받은 배송비를 뺀 판매자 부담액. 포장비도 포함한 것으로 가정합니다.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5" customHeight="1">
      <x:c r="A52" s="16" t="str">
        <x:v>예상이익 = 상품매출 - 매입합계 - 수수료 - 배송부담. 광고비·세금·고정비는 포함하지 않습니다.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5" customHeight="1">
      <x:c r="A54" s="14" t="str">
        <x:v>수식 예시 · 02_직접실습에 입력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5" customHeight="1">
      <x:c r="A55" s="2" t="str">
        <x:v>G7</x:v>
      </x:c>
      <x:c r="B55" s="2" t="str">
        <x:v>=D7*E7</x:v>
      </x:c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5" customHeight="1">
      <x:c r="A56" s="2" t="str">
        <x:v>H7</x:v>
      </x:c>
      <x:c r="B56" s="2" t="str">
        <x:v>=D7*F7</x:v>
      </x:c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5" customHeight="1">
      <x:c r="A57" s="2" t="str">
        <x:v>K7</x:v>
      </x:c>
      <x:c r="B57" s="2" t="str">
        <x:v>=G7-H7-I7-J7</x:v>
      </x:c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5" customHeight="1">
      <x:c r="A58" s="2" t="str">
        <x:v>G28</x:v>
      </x:c>
      <x:c r="B58" s="2" t="str">
        <x:v>=SUM(G7:G26)</x:v>
      </x:c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5" customHeight="1">
      <x:c r="A59" s="2" t="str">
        <x:v>D34</x:v>
      </x:c>
      <x:c r="B59" s="2" t="str">
        <x:v>=SUMIFS($D$7:$D$26,$C$7:$C$26,A34)</x:v>
      </x:c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5" customHeight="1">
      <x:c r="A60" s="2" t="str">
        <x:v>E34</x:v>
      </x:c>
      <x:c r="B60" s="2" t="str">
        <x:v>=B34+C34-D34</x:v>
      </x:c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5" customHeight="1">
      <x:c r="A61" s="2" t="str">
        <x:v>G34</x:v>
      </x:c>
      <x:c r="B61" s="2" t="str">
        <x:v>=IF(E34&lt;=F34,"추가입고","여유")</x:v>
      </x:c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5" customHeight="1">
      <x:c r="A62" s="2" t="str">
        <x:v>B43</x:v>
      </x:c>
      <x:c r="B62" s="2" t="str">
        <x:v>=SUM(D7:D26)</x:v>
      </x:c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5" customHeight="1">
      <x:c r="A63" s="2" t="str">
        <x:v>B44</x:v>
      </x:c>
      <x:c r="B63" s="2" t="str">
        <x:v>=COUNTIFS(L7:L26,"발송대기")</x:v>
      </x:c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5" customHeight="1">
      <x:c r="A64" s="2" t="str">
        <x:v>B45</x:v>
      </x:c>
      <x:c r="B64" s="2" t="str">
        <x:v>=MAX(K7:K26)</x:v>
      </x:c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5" customHeight="1">
      <x:c r="A65" s="2" t="str">
        <x:v>B46</x:v>
      </x:c>
      <x:c r="B65" s="2" t="str">
        <x:v>=SUMIFS(G7:G26,C7:C26,"머그컵")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5" customHeight="1">
      <x:c r="A66" s="2" t="str">
        <x:v>B47</x:v>
      </x:c>
      <x:c r="B66" s="2" t="str">
        <x:v>=COUNTIFS(K7:K26,"&lt;0")</x:v>
      </x:c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5" customHeight="1">
      <x:c r="A68" s="2" t="str">
        <x:v>G7·H7·K7 수식은 21행까지 아래로 복사합니다.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t="str">
        <x:v>재고표 수식은 38행까지 아래로 복사합니다.</x:v>
      </x:c>
    </x:row>
    <x:row r="70">
      <x:c r="A70" t="str">
        <x:v>합계는 D·G·H·I·J·K열에서 각각 구합니다.</x:v>
      </x:c>
    </x:row>
  </x:sheetData>
  <x:conditionalFormatting sqref="G34:G38">
    <x:cfRule type="containsText" dxfId="2" priority="1" operator="containsText" text="추가입고"/>
  </x:conditionalFormatting>
  <x:conditionalFormatting sqref="K7:K26">
    <x:cfRule type="cellIs" dxfId="3" priority="2" operator="lessThan">
      <x:formula>0</x:formula>
    </x:cfRule>
  </x:conditionalFormatting>
  <x:dataValidations count="1">
    <x:dataValidation type="list" sqref="L7:L26">
      <x:formula1>"발송대기,발송완료"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79bb70a4046ad"/>
  </x:tableParts>
</x:worksheet>
</file>