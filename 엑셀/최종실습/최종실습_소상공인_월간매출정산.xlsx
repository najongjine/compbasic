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미수금관리" sheetId="3" state="visible" r:id="rId3"/>
    <sheet xmlns:r="http://schemas.openxmlformats.org/officeDocument/2006/relationships" name="재고관리" sheetId="4" state="visible" r:id="rId4"/>
  </sheets>
  <definedNames>
    <definedName name="_xlnm._FilterDatabase" localSheetId="0" hidden="1">'거래내역'!$A$4:$J$14</definedName>
    <definedName name="_xlnm._FilterDatabase" localSheetId="2" hidden="1">'미수금관리'!$A$4:$G$8</definedName>
    <definedName name="_xlnm._FilterDatabase" localSheetId="3" hidden="1">'재고관리'!$A$4:$F$8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8" customWidth="1" min="4" max="4"/>
    <col width="12" customWidth="1" min="5" max="5"/>
    <col width="8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소상공인 월간 매출정산</t>
        </is>
      </c>
    </row>
    <row r="2">
      <c r="A2" s="2" t="inlineStr">
        <is>
          <t>매출과 비용을 한 달 단위로 정리합니다.</t>
        </is>
      </c>
    </row>
    <row r="4">
      <c r="A4" s="3" t="inlineStr">
        <is>
          <t>일자</t>
        </is>
      </c>
      <c r="B4" s="3" t="inlineStr">
        <is>
          <t>구분</t>
        </is>
      </c>
      <c r="C4" s="3" t="inlineStr">
        <is>
          <t>분류</t>
        </is>
      </c>
      <c r="D4" s="3" t="inlineStr">
        <is>
          <t>내용</t>
        </is>
      </c>
      <c r="E4" s="3" t="inlineStr">
        <is>
          <t>결제수단</t>
        </is>
      </c>
      <c r="F4" s="3" t="inlineStr">
        <is>
          <t>수량</t>
        </is>
      </c>
      <c r="G4" s="3" t="inlineStr">
        <is>
          <t>단가</t>
        </is>
      </c>
      <c r="H4" s="3" t="inlineStr">
        <is>
          <t>매출</t>
        </is>
      </c>
      <c r="I4" s="3" t="inlineStr">
        <is>
          <t>비용</t>
        </is>
      </c>
      <c r="J4" s="3" t="inlineStr">
        <is>
          <t>순액</t>
        </is>
      </c>
    </row>
    <row r="5">
      <c r="A5" s="4" t="n">
        <v>46174</v>
      </c>
      <c r="B5" s="5" t="inlineStr">
        <is>
          <t>매출</t>
        </is>
      </c>
      <c r="C5" s="5" t="inlineStr">
        <is>
          <t>음료</t>
        </is>
      </c>
      <c r="D5" s="5" t="inlineStr">
        <is>
          <t>아메리카노</t>
        </is>
      </c>
      <c r="E5" s="5" t="inlineStr">
        <is>
          <t>카드</t>
        </is>
      </c>
      <c r="F5" s="5" t="n">
        <v>42</v>
      </c>
      <c r="G5" s="6" t="n">
        <v>3200</v>
      </c>
      <c r="H5" s="6">
        <f>IF(B5="매출",F5*G5,0)</f>
        <v/>
      </c>
      <c r="I5" s="6" t="n">
        <v>0</v>
      </c>
      <c r="J5" s="6">
        <f>H5-I5</f>
        <v/>
      </c>
    </row>
    <row r="6">
      <c r="A6" s="4" t="n">
        <v>46174</v>
      </c>
      <c r="B6" s="5" t="inlineStr">
        <is>
          <t>매출</t>
        </is>
      </c>
      <c r="C6" s="5" t="inlineStr">
        <is>
          <t>간편식</t>
        </is>
      </c>
      <c r="D6" s="5" t="inlineStr">
        <is>
          <t>샌드위치</t>
        </is>
      </c>
      <c r="E6" s="5" t="inlineStr">
        <is>
          <t>현금</t>
        </is>
      </c>
      <c r="F6" s="5" t="n">
        <v>24</v>
      </c>
      <c r="G6" s="6" t="n">
        <v>6500</v>
      </c>
      <c r="H6" s="6">
        <f>IF(B6="매출",F6*G6,0)</f>
        <v/>
      </c>
      <c r="I6" s="6" t="n">
        <v>0</v>
      </c>
      <c r="J6" s="6">
        <f>H6-I6</f>
        <v/>
      </c>
    </row>
    <row r="7">
      <c r="A7" s="4" t="n">
        <v>46175</v>
      </c>
      <c r="B7" s="5" t="inlineStr">
        <is>
          <t>비용</t>
        </is>
      </c>
      <c r="C7" s="5" t="inlineStr">
        <is>
          <t>식자재</t>
        </is>
      </c>
      <c r="D7" s="5" t="inlineStr">
        <is>
          <t>원두/우유 구입</t>
        </is>
      </c>
      <c r="E7" s="5" t="inlineStr">
        <is>
          <t>계좌이체</t>
        </is>
      </c>
      <c r="F7" s="5" t="n">
        <v>1</v>
      </c>
      <c r="G7" s="6" t="n">
        <v>0</v>
      </c>
      <c r="H7" s="6">
        <f>IF(B7="매출",F7*G7,0)</f>
        <v/>
      </c>
      <c r="I7" s="6" t="n">
        <v>185000</v>
      </c>
      <c r="J7" s="6">
        <f>H7-I7</f>
        <v/>
      </c>
    </row>
    <row r="8">
      <c r="A8" s="4" t="n">
        <v>46176</v>
      </c>
      <c r="B8" s="5" t="inlineStr">
        <is>
          <t>매출</t>
        </is>
      </c>
      <c r="C8" s="5" t="inlineStr">
        <is>
          <t>음료</t>
        </is>
      </c>
      <c r="D8" s="5" t="inlineStr">
        <is>
          <t>카페라떼</t>
        </is>
      </c>
      <c r="E8" s="5" t="inlineStr">
        <is>
          <t>카드</t>
        </is>
      </c>
      <c r="F8" s="5" t="n">
        <v>30</v>
      </c>
      <c r="G8" s="6" t="n">
        <v>4200</v>
      </c>
      <c r="H8" s="6">
        <f>IF(B8="매출",F8*G8,0)</f>
        <v/>
      </c>
      <c r="I8" s="6" t="n">
        <v>0</v>
      </c>
      <c r="J8" s="6">
        <f>H8-I8</f>
        <v/>
      </c>
    </row>
    <row r="9">
      <c r="A9" s="4" t="n">
        <v>46177</v>
      </c>
      <c r="B9" s="5" t="inlineStr">
        <is>
          <t>비용</t>
        </is>
      </c>
      <c r="C9" s="5" t="inlineStr">
        <is>
          <t>운영비</t>
        </is>
      </c>
      <c r="D9" s="5" t="inlineStr">
        <is>
          <t>소모품 구입</t>
        </is>
      </c>
      <c r="E9" s="5" t="inlineStr">
        <is>
          <t>카드</t>
        </is>
      </c>
      <c r="F9" s="5" t="n">
        <v>1</v>
      </c>
      <c r="G9" s="6" t="n">
        <v>0</v>
      </c>
      <c r="H9" s="6">
        <f>IF(B9="매출",F9*G9,0)</f>
        <v/>
      </c>
      <c r="I9" s="6" t="n">
        <v>76000</v>
      </c>
      <c r="J9" s="6">
        <f>H9-I9</f>
        <v/>
      </c>
    </row>
    <row r="10">
      <c r="A10" s="4" t="n">
        <v>46178</v>
      </c>
      <c r="B10" s="5" t="inlineStr">
        <is>
          <t>매출</t>
        </is>
      </c>
      <c r="C10" s="5" t="inlineStr">
        <is>
          <t>상품</t>
        </is>
      </c>
      <c r="D10" s="5" t="inlineStr">
        <is>
          <t>원두 200g</t>
        </is>
      </c>
      <c r="E10" s="5" t="inlineStr">
        <is>
          <t>계좌이체</t>
        </is>
      </c>
      <c r="F10" s="5" t="n">
        <v>12</v>
      </c>
      <c r="G10" s="6" t="n">
        <v>12000</v>
      </c>
      <c r="H10" s="6">
        <f>IF(B10="매출",F10*G10,0)</f>
        <v/>
      </c>
      <c r="I10" s="6" t="n">
        <v>0</v>
      </c>
      <c r="J10" s="6">
        <f>H10-I10</f>
        <v/>
      </c>
    </row>
    <row r="11">
      <c r="A11" s="4" t="n">
        <v>46181</v>
      </c>
      <c r="B11" s="5" t="inlineStr">
        <is>
          <t>비용</t>
        </is>
      </c>
      <c r="C11" s="5" t="inlineStr">
        <is>
          <t>고정비</t>
        </is>
      </c>
      <c r="D11" s="5" t="inlineStr">
        <is>
          <t>임대료</t>
        </is>
      </c>
      <c r="E11" s="5" t="inlineStr">
        <is>
          <t>계좌이체</t>
        </is>
      </c>
      <c r="F11" s="5" t="n">
        <v>1</v>
      </c>
      <c r="G11" s="6" t="n">
        <v>0</v>
      </c>
      <c r="H11" s="6">
        <f>IF(B11="매출",F11*G11,0)</f>
        <v/>
      </c>
      <c r="I11" s="6" t="n">
        <v>850000</v>
      </c>
      <c r="J11" s="6">
        <f>H11-I11</f>
        <v/>
      </c>
    </row>
    <row r="12">
      <c r="A12" s="4" t="n">
        <v>46182</v>
      </c>
      <c r="B12" s="5" t="inlineStr">
        <is>
          <t>매출</t>
        </is>
      </c>
      <c r="C12" s="5" t="inlineStr">
        <is>
          <t>간편식</t>
        </is>
      </c>
      <c r="D12" s="5" t="inlineStr">
        <is>
          <t>샐러드</t>
        </is>
      </c>
      <c r="E12" s="5" t="inlineStr">
        <is>
          <t>카드</t>
        </is>
      </c>
      <c r="F12" s="5" t="n">
        <v>18</v>
      </c>
      <c r="G12" s="6" t="n">
        <v>7200</v>
      </c>
      <c r="H12" s="6">
        <f>IF(B12="매출",F12*G12,0)</f>
        <v/>
      </c>
      <c r="I12" s="6" t="n">
        <v>0</v>
      </c>
      <c r="J12" s="6">
        <f>H12-I12</f>
        <v/>
      </c>
    </row>
    <row r="13">
      <c r="A13" s="4" t="n">
        <v>46183</v>
      </c>
      <c r="B13" s="5" t="inlineStr">
        <is>
          <t>매출</t>
        </is>
      </c>
      <c r="C13" s="5" t="inlineStr">
        <is>
          <t>음료</t>
        </is>
      </c>
      <c r="D13" s="5" t="inlineStr">
        <is>
          <t>아메리카노</t>
        </is>
      </c>
      <c r="E13" s="5" t="inlineStr">
        <is>
          <t>카드</t>
        </is>
      </c>
      <c r="F13" s="5" t="n">
        <v>50</v>
      </c>
      <c r="G13" s="6" t="n">
        <v>3200</v>
      </c>
      <c r="H13" s="6">
        <f>IF(B13="매출",F13*G13,0)</f>
        <v/>
      </c>
      <c r="I13" s="6" t="n">
        <v>0</v>
      </c>
      <c r="J13" s="6">
        <f>H13-I13</f>
        <v/>
      </c>
    </row>
    <row r="14">
      <c r="A14" s="4" t="n">
        <v>46184</v>
      </c>
      <c r="B14" s="5" t="inlineStr">
        <is>
          <t>비용</t>
        </is>
      </c>
      <c r="C14" s="5" t="inlineStr">
        <is>
          <t>고정비</t>
        </is>
      </c>
      <c r="D14" s="5" t="inlineStr">
        <is>
          <t>인건비</t>
        </is>
      </c>
      <c r="E14" s="5" t="inlineStr">
        <is>
          <t>계좌이체</t>
        </is>
      </c>
      <c r="F14" s="5" t="n">
        <v>1</v>
      </c>
      <c r="G14" s="6" t="n">
        <v>0</v>
      </c>
      <c r="H14" s="6">
        <f>IF(B14="매출",F14*G14,0)</f>
        <v/>
      </c>
      <c r="I14" s="6" t="n">
        <v>620000</v>
      </c>
      <c r="J14" s="6">
        <f>H14-I14</f>
        <v/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1" t="inlineStr">
        <is>
          <t>월간 요약</t>
        </is>
      </c>
    </row>
    <row r="2">
      <c r="A2" s="2" t="inlineStr">
        <is>
          <t>자주 쓰는 함수만 사용한 실무형 요약입니다.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사용 기능</t>
        </is>
      </c>
    </row>
    <row r="5">
      <c r="A5" s="5" t="inlineStr">
        <is>
          <t>총매출</t>
        </is>
      </c>
      <c r="B5" s="6">
        <f>SUM(거래내역!H5:H14)</f>
        <v/>
      </c>
      <c r="C5" s="5" t="inlineStr">
        <is>
          <t>SUM</t>
        </is>
      </c>
    </row>
    <row r="6">
      <c r="A6" s="5" t="inlineStr">
        <is>
          <t>총비용</t>
        </is>
      </c>
      <c r="B6" s="6">
        <f>SUM(거래내역!I5:I14)</f>
        <v/>
      </c>
      <c r="C6" s="5" t="inlineStr">
        <is>
          <t>SUM</t>
        </is>
      </c>
    </row>
    <row r="7">
      <c r="A7" s="5" t="inlineStr">
        <is>
          <t>순이익</t>
        </is>
      </c>
      <c r="B7" s="6">
        <f>B5-B6</f>
        <v/>
      </c>
      <c r="C7" s="5" t="inlineStr">
        <is>
          <t>SUM 결과 계산</t>
        </is>
      </c>
    </row>
    <row r="8">
      <c r="A8" s="5" t="inlineStr">
        <is>
          <t>거래건수</t>
        </is>
      </c>
      <c r="B8" s="6">
        <f>COUNTA(거래내역!A5:A14)</f>
        <v/>
      </c>
      <c r="C8" s="5" t="inlineStr">
        <is>
          <t>COUNTA</t>
        </is>
      </c>
    </row>
    <row r="9">
      <c r="A9" s="5" t="inlineStr">
        <is>
          <t>평균 순액</t>
        </is>
      </c>
      <c r="B9" s="6">
        <f>AVERAGE(거래내역!J5:J14)</f>
        <v/>
      </c>
      <c r="C9" s="5" t="inlineStr">
        <is>
          <t>AVERAGE</t>
        </is>
      </c>
    </row>
    <row r="11">
      <c r="A11" s="3" t="inlineStr">
        <is>
          <t>결제수단</t>
        </is>
      </c>
      <c r="B11" s="3" t="inlineStr">
        <is>
          <t>매출합계</t>
        </is>
      </c>
      <c r="C11" s="3" t="inlineStr">
        <is>
          <t>거래건수</t>
        </is>
      </c>
    </row>
    <row r="12">
      <c r="A12" s="5" t="inlineStr">
        <is>
          <t>카드</t>
        </is>
      </c>
      <c r="B12" s="6">
        <f>SUMIF(거래내역!E5:E14,A12,거래내역!H5:H14)</f>
        <v/>
      </c>
      <c r="C12" s="5">
        <f>COUNTIF(거래내역!E5:E14,A12)</f>
        <v/>
      </c>
    </row>
    <row r="13">
      <c r="A13" s="5" t="inlineStr">
        <is>
          <t>현금</t>
        </is>
      </c>
      <c r="B13" s="6">
        <f>SUMIF(거래내역!E5:E14,A13,거래내역!H5:H14)</f>
        <v/>
      </c>
      <c r="C13" s="5">
        <f>COUNTIF(거래내역!E5:E14,A13)</f>
        <v/>
      </c>
    </row>
    <row r="14">
      <c r="A14" s="5" t="inlineStr">
        <is>
          <t>계좌이체</t>
        </is>
      </c>
      <c r="B14" s="6">
        <f>SUMIF(거래내역!E5:E14,A14,거래내역!H5:H14)</f>
        <v/>
      </c>
      <c r="C14" s="5">
        <f>COUNTIF(거래내역!E5:E14,A14)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</cols>
  <sheetData>
    <row r="1" ht="24" customHeight="1">
      <c r="A1" s="1" t="inlineStr">
        <is>
          <t>미수금 관리</t>
        </is>
      </c>
    </row>
    <row r="2">
      <c r="A2" s="2" t="inlineStr">
        <is>
          <t>정렬과 필터로 입금확인 대상을 찾습니다.</t>
        </is>
      </c>
    </row>
    <row r="4">
      <c r="A4" s="3" t="inlineStr">
        <is>
          <t>거래처</t>
        </is>
      </c>
      <c r="B4" s="3" t="inlineStr">
        <is>
          <t>청구액</t>
        </is>
      </c>
      <c r="C4" s="3" t="inlineStr">
        <is>
          <t>입금액</t>
        </is>
      </c>
      <c r="D4" s="3" t="inlineStr">
        <is>
          <t>미수금</t>
        </is>
      </c>
      <c r="E4" s="3" t="inlineStr">
        <is>
          <t>납부예정일</t>
        </is>
      </c>
      <c r="F4" s="3" t="inlineStr">
        <is>
          <t>상태</t>
        </is>
      </c>
      <c r="G4" s="3" t="inlineStr">
        <is>
          <t>메모</t>
        </is>
      </c>
    </row>
    <row r="5">
      <c r="A5" s="5" t="inlineStr">
        <is>
          <t>서울푸드</t>
        </is>
      </c>
      <c r="B5" s="6" t="n">
        <v>430000</v>
      </c>
      <c r="C5" s="6" t="n">
        <v>430000</v>
      </c>
      <c r="D5" s="6">
        <f>B5-C5</f>
        <v/>
      </c>
      <c r="E5" s="4" t="n">
        <v>46183</v>
      </c>
      <c r="F5" s="5">
        <f>IF(D5&gt;0,"입금확인","완료")</f>
        <v/>
      </c>
      <c r="G5" s="5" t="inlineStr"/>
    </row>
    <row r="6">
      <c r="A6" s="5" t="inlineStr">
        <is>
          <t>한빛문구</t>
        </is>
      </c>
      <c r="B6" s="6" t="n">
        <v>230000</v>
      </c>
      <c r="C6" s="6" t="n">
        <v>180000</v>
      </c>
      <c r="D6" s="6">
        <f>B6-C6</f>
        <v/>
      </c>
      <c r="E6" s="4" t="n">
        <v>46185</v>
      </c>
      <c r="F6" s="5">
        <f>IF(D6&gt;0,"입금확인","완료")</f>
        <v/>
      </c>
      <c r="G6" s="5" t="inlineStr"/>
    </row>
    <row r="7">
      <c r="A7" s="5" t="inlineStr">
        <is>
          <t>미래유통</t>
        </is>
      </c>
      <c r="B7" s="6" t="n">
        <v>520000</v>
      </c>
      <c r="C7" s="6" t="n">
        <v>300000</v>
      </c>
      <c r="D7" s="6">
        <f>B7-C7</f>
        <v/>
      </c>
      <c r="E7" s="4" t="n">
        <v>46188</v>
      </c>
      <c r="F7" s="5">
        <f>IF(D7&gt;0,"입금확인","완료")</f>
        <v/>
      </c>
      <c r="G7" s="5" t="inlineStr"/>
    </row>
    <row r="8">
      <c r="A8" s="5" t="inlineStr">
        <is>
          <t>도담상회</t>
        </is>
      </c>
      <c r="B8" s="6" t="n">
        <v>98000</v>
      </c>
      <c r="C8" s="6" t="n">
        <v>98000</v>
      </c>
      <c r="D8" s="6">
        <f>B8-C8</f>
        <v/>
      </c>
      <c r="E8" s="4" t="n">
        <v>46181</v>
      </c>
      <c r="F8" s="5">
        <f>IF(D8&gt;0,"입금확인","완료")</f>
        <v/>
      </c>
      <c r="G8" s="5" t="inlineStr"/>
    </row>
  </sheetData>
  <autoFilter ref="A4:G8"/>
  <mergeCells count="2">
    <mergeCell ref="A2:G2"/>
    <mergeCell ref="A1:G1"/>
  </mergeCells>
  <conditionalFormatting sqref="D5:D8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8" customWidth="1" min="4" max="4"/>
    <col width="12" customWidth="1" min="5" max="5"/>
    <col width="16" customWidth="1" min="6" max="6"/>
  </cols>
  <sheetData>
    <row r="1" ht="24" customHeight="1">
      <c r="A1" s="1" t="inlineStr">
        <is>
          <t>재고 관리</t>
        </is>
      </c>
    </row>
    <row r="2">
      <c r="A2" s="2" t="inlineStr">
        <is>
          <t>조건부 서식으로 부족한 품목을 확인합니다.</t>
        </is>
      </c>
    </row>
    <row r="4">
      <c r="A4" s="3" t="inlineStr">
        <is>
          <t>품목</t>
        </is>
      </c>
      <c r="B4" s="3" t="inlineStr">
        <is>
          <t>현재재고</t>
        </is>
      </c>
      <c r="C4" s="3" t="inlineStr">
        <is>
          <t>안전재고</t>
        </is>
      </c>
      <c r="D4" s="3" t="inlineStr">
        <is>
          <t>차이</t>
        </is>
      </c>
      <c r="E4" s="3" t="inlineStr">
        <is>
          <t>상태</t>
        </is>
      </c>
      <c r="F4" s="3" t="inlineStr">
        <is>
          <t>발주메모</t>
        </is>
      </c>
    </row>
    <row r="5">
      <c r="A5" s="5" t="inlineStr">
        <is>
          <t>아메리카노 원두</t>
        </is>
      </c>
      <c r="B5" s="5" t="n">
        <v>8</v>
      </c>
      <c r="C5" s="5" t="n">
        <v>10</v>
      </c>
      <c r="D5" s="5">
        <f>B5-C5</f>
        <v/>
      </c>
      <c r="E5" s="5">
        <f>IF(B5&lt;C5,"보충필요","정상")</f>
        <v/>
      </c>
      <c r="F5" s="5" t="inlineStr"/>
    </row>
    <row r="6">
      <c r="A6" s="5" t="inlineStr">
        <is>
          <t>우유</t>
        </is>
      </c>
      <c r="B6" s="5" t="n">
        <v>14</v>
      </c>
      <c r="C6" s="5" t="n">
        <v>12</v>
      </c>
      <c r="D6" s="5">
        <f>B6-C6</f>
        <v/>
      </c>
      <c r="E6" s="5">
        <f>IF(B6&lt;C6,"보충필요","정상")</f>
        <v/>
      </c>
      <c r="F6" s="5" t="inlineStr"/>
    </row>
    <row r="7">
      <c r="A7" s="5" t="inlineStr">
        <is>
          <t>샌드위치 포장지</t>
        </is>
      </c>
      <c r="B7" s="5" t="n">
        <v>45</v>
      </c>
      <c r="C7" s="5" t="n">
        <v>50</v>
      </c>
      <c r="D7" s="5">
        <f>B7-C7</f>
        <v/>
      </c>
      <c r="E7" s="5">
        <f>IF(B7&lt;C7,"보충필요","정상")</f>
        <v/>
      </c>
      <c r="F7" s="5" t="inlineStr"/>
    </row>
    <row r="8">
      <c r="A8" s="5" t="inlineStr">
        <is>
          <t>원두 200g</t>
        </is>
      </c>
      <c r="B8" s="5" t="n">
        <v>6</v>
      </c>
      <c r="C8" s="5" t="n">
        <v>10</v>
      </c>
      <c r="D8" s="5">
        <f>B8-C8</f>
        <v/>
      </c>
      <c r="E8" s="5">
        <f>IF(B8&lt;C8,"보충필요","정상")</f>
        <v/>
      </c>
      <c r="F8" s="5" t="inlineStr"/>
    </row>
  </sheetData>
  <autoFilter ref="A4:F8"/>
  <mergeCells count="2">
    <mergeCell ref="A2:F2"/>
    <mergeCell ref="A1:F1"/>
  </mergeCells>
  <conditionalFormatting sqref="E5:E8">
    <cfRule type="cellIs" priority="1" operator="equal" dxfId="0">
      <formula>"보충필요"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2026-06-11T07:50:57Z</dcterms:created>
  <dcterms:modified xmlns:dcterms="http://purl.org/dc/terms/" xmlns:xsi="http://www.w3.org/2001/XMLSchema-instance" xsi:type="dcterms:W3CDTF">2026-06-11T07:50:57Z</dcterms:modified>
</cp:coreProperties>
</file>