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계부" sheetId="1" state="visible" r:id="rId1"/>
    <sheet xmlns:r="http://schemas.openxmlformats.org/officeDocument/2006/relationships" name="월간요약" sheetId="2" state="visible" r:id="rId2"/>
    <sheet xmlns:r="http://schemas.openxmlformats.org/officeDocument/2006/relationships" name="항목별예산" sheetId="3" state="visible" r:id="rId3"/>
    <sheet xmlns:r="http://schemas.openxmlformats.org/officeDocument/2006/relationships" name="실습순서" sheetId="4" state="visible" r:id="rId4"/>
  </sheets>
  <definedNames>
    <definedName name="_xlnm._FilterDatabase" localSheetId="0" hidden="1">'가계부'!$A$4:$I$19</definedName>
    <definedName name="_xlnm._FilterDatabase" localSheetId="2" hidden="1">'항목별예산'!$A$4:$F$14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&quot;원&quot;"/>
  </numFmts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 ht="24" customHeight="1">
      <c r="A1" s="1" t="inlineStr">
        <is>
          <t>우리집 월간 가계부</t>
        </is>
      </c>
    </row>
    <row r="2">
      <c r="A2" s="2" t="inlineStr">
        <is>
          <t>수입과 지출을 한 달 단위로 정리합니다.</t>
        </is>
      </c>
    </row>
    <row r="4">
      <c r="A4" s="3" t="inlineStr">
        <is>
          <t>날짜</t>
        </is>
      </c>
      <c r="B4" s="3" t="inlineStr">
        <is>
          <t>구분</t>
        </is>
      </c>
      <c r="C4" s="3" t="inlineStr">
        <is>
          <t>항목</t>
        </is>
      </c>
      <c r="D4" s="3" t="inlineStr">
        <is>
          <t>내용</t>
        </is>
      </c>
      <c r="E4" s="3" t="inlineStr">
        <is>
          <t>결제수단</t>
        </is>
      </c>
      <c r="F4" s="3" t="inlineStr">
        <is>
          <t>수입</t>
        </is>
      </c>
      <c r="G4" s="3" t="inlineStr">
        <is>
          <t>지출</t>
        </is>
      </c>
      <c r="H4" s="3" t="inlineStr">
        <is>
          <t>메모</t>
        </is>
      </c>
      <c r="I4" s="3" t="inlineStr">
        <is>
          <t>확인</t>
        </is>
      </c>
    </row>
    <row r="5">
      <c r="A5" s="4" t="n">
        <v>46174</v>
      </c>
      <c r="B5" s="5" t="inlineStr">
        <is>
          <t>수입</t>
        </is>
      </c>
      <c r="C5" s="5" t="inlineStr">
        <is>
          <t>급여</t>
        </is>
      </c>
      <c r="D5" s="5" t="inlineStr">
        <is>
          <t>월급</t>
        </is>
      </c>
      <c r="E5" s="5" t="inlineStr">
        <is>
          <t>계좌이체</t>
        </is>
      </c>
      <c r="F5" s="6" t="n">
        <v>2600000</v>
      </c>
      <c r="G5" s="6" t="n">
        <v>0</v>
      </c>
      <c r="H5" s="5" t="inlineStr"/>
      <c r="I5" s="5">
        <f>IF(G5&gt;=100000,"큰지출","")</f>
        <v/>
      </c>
    </row>
    <row r="6">
      <c r="A6" s="4" t="n">
        <v>46174</v>
      </c>
      <c r="B6" s="5" t="inlineStr">
        <is>
          <t>지출</t>
        </is>
      </c>
      <c r="C6" s="5" t="inlineStr">
        <is>
          <t>주거</t>
        </is>
      </c>
      <c r="D6" s="5" t="inlineStr">
        <is>
          <t>월세/관리비</t>
        </is>
      </c>
      <c r="E6" s="5" t="inlineStr">
        <is>
          <t>계좌이체</t>
        </is>
      </c>
      <c r="F6" s="6" t="n">
        <v>0</v>
      </c>
      <c r="G6" s="6" t="n">
        <v>650000</v>
      </c>
      <c r="H6" s="5" t="inlineStr">
        <is>
          <t>고정비</t>
        </is>
      </c>
      <c r="I6" s="5">
        <f>IF(G6&gt;=100000,"큰지출","")</f>
        <v/>
      </c>
    </row>
    <row r="7">
      <c r="A7" s="4" t="n">
        <v>46175</v>
      </c>
      <c r="B7" s="5" t="inlineStr">
        <is>
          <t>지출</t>
        </is>
      </c>
      <c r="C7" s="5" t="inlineStr">
        <is>
          <t>식비</t>
        </is>
      </c>
      <c r="D7" s="5" t="inlineStr">
        <is>
          <t>마트 장보기</t>
        </is>
      </c>
      <c r="E7" s="5" t="inlineStr">
        <is>
          <t>카드</t>
        </is>
      </c>
      <c r="F7" s="6" t="n">
        <v>0</v>
      </c>
      <c r="G7" s="6" t="n">
        <v>86400</v>
      </c>
      <c r="H7" s="5" t="inlineStr"/>
      <c r="I7" s="5">
        <f>IF(G7&gt;=100000,"큰지출","")</f>
        <v/>
      </c>
    </row>
    <row r="8">
      <c r="A8" s="4" t="n">
        <v>46176</v>
      </c>
      <c r="B8" s="5" t="inlineStr">
        <is>
          <t>지출</t>
        </is>
      </c>
      <c r="C8" s="5" t="inlineStr">
        <is>
          <t>교통</t>
        </is>
      </c>
      <c r="D8" s="5" t="inlineStr">
        <is>
          <t>교통카드 충전</t>
        </is>
      </c>
      <c r="E8" s="5" t="inlineStr">
        <is>
          <t>카드</t>
        </is>
      </c>
      <c r="F8" s="6" t="n">
        <v>0</v>
      </c>
      <c r="G8" s="6" t="n">
        <v>50000</v>
      </c>
      <c r="H8" s="5" t="inlineStr"/>
      <c r="I8" s="5">
        <f>IF(G8&gt;=100000,"큰지출","")</f>
        <v/>
      </c>
    </row>
    <row r="9">
      <c r="A9" s="4" t="n">
        <v>46178</v>
      </c>
      <c r="B9" s="5" t="inlineStr">
        <is>
          <t>지출</t>
        </is>
      </c>
      <c r="C9" s="5" t="inlineStr">
        <is>
          <t>통신</t>
        </is>
      </c>
      <c r="D9" s="5" t="inlineStr">
        <is>
          <t>휴대폰 요금</t>
        </is>
      </c>
      <c r="E9" s="5" t="inlineStr">
        <is>
          <t>계좌이체</t>
        </is>
      </c>
      <c r="F9" s="6" t="n">
        <v>0</v>
      </c>
      <c r="G9" s="6" t="n">
        <v>69000</v>
      </c>
      <c r="H9" s="5" t="inlineStr">
        <is>
          <t>고정비</t>
        </is>
      </c>
      <c r="I9" s="5">
        <f>IF(G9&gt;=100000,"큰지출","")</f>
        <v/>
      </c>
    </row>
    <row r="10">
      <c r="A10" s="4" t="n">
        <v>46179</v>
      </c>
      <c r="B10" s="5" t="inlineStr">
        <is>
          <t>지출</t>
        </is>
      </c>
      <c r="C10" s="5" t="inlineStr">
        <is>
          <t>식비</t>
        </is>
      </c>
      <c r="D10" s="5" t="inlineStr">
        <is>
          <t>외식</t>
        </is>
      </c>
      <c r="E10" s="5" t="inlineStr">
        <is>
          <t>카드</t>
        </is>
      </c>
      <c r="F10" s="6" t="n">
        <v>0</v>
      </c>
      <c r="G10" s="6" t="n">
        <v>42000</v>
      </c>
      <c r="H10" s="5" t="inlineStr"/>
      <c r="I10" s="5">
        <f>IF(G10&gt;=100000,"큰지출","")</f>
        <v/>
      </c>
    </row>
    <row r="11">
      <c r="A11" s="4" t="n">
        <v>46181</v>
      </c>
      <c r="B11" s="5" t="inlineStr">
        <is>
          <t>지출</t>
        </is>
      </c>
      <c r="C11" s="5" t="inlineStr">
        <is>
          <t>의료</t>
        </is>
      </c>
      <c r="D11" s="5" t="inlineStr">
        <is>
          <t>병원/약국</t>
        </is>
      </c>
      <c r="E11" s="5" t="inlineStr">
        <is>
          <t>카드</t>
        </is>
      </c>
      <c r="F11" s="6" t="n">
        <v>0</v>
      </c>
      <c r="G11" s="6" t="n">
        <v>31500</v>
      </c>
      <c r="H11" s="5" t="inlineStr"/>
      <c r="I11" s="5">
        <f>IF(G11&gt;=100000,"큰지출","")</f>
        <v/>
      </c>
    </row>
    <row r="12">
      <c r="A12" s="4" t="n">
        <v>46183</v>
      </c>
      <c r="B12" s="5" t="inlineStr">
        <is>
          <t>수입</t>
        </is>
      </c>
      <c r="C12" s="5" t="inlineStr">
        <is>
          <t>기타수입</t>
        </is>
      </c>
      <c r="D12" s="5" t="inlineStr">
        <is>
          <t>중고거래</t>
        </is>
      </c>
      <c r="E12" s="5" t="inlineStr">
        <is>
          <t>현금</t>
        </is>
      </c>
      <c r="F12" s="6" t="n">
        <v>70000</v>
      </c>
      <c r="G12" s="6" t="n">
        <v>0</v>
      </c>
      <c r="H12" s="5" t="inlineStr"/>
      <c r="I12" s="5">
        <f>IF(G12&gt;=100000,"큰지출","")</f>
        <v/>
      </c>
    </row>
    <row r="13">
      <c r="A13" s="4" t="n">
        <v>46185</v>
      </c>
      <c r="B13" s="5" t="inlineStr">
        <is>
          <t>지출</t>
        </is>
      </c>
      <c r="C13" s="5" t="inlineStr">
        <is>
          <t>생활용품</t>
        </is>
      </c>
      <c r="D13" s="5" t="inlineStr">
        <is>
          <t>세제/휴지</t>
        </is>
      </c>
      <c r="E13" s="5" t="inlineStr">
        <is>
          <t>카드</t>
        </is>
      </c>
      <c r="F13" s="6" t="n">
        <v>0</v>
      </c>
      <c r="G13" s="6" t="n">
        <v>38400</v>
      </c>
      <c r="H13" s="5" t="inlineStr"/>
      <c r="I13" s="5">
        <f>IF(G13&gt;=100000,"큰지출","")</f>
        <v/>
      </c>
    </row>
    <row r="14">
      <c r="A14" s="4" t="n">
        <v>46188</v>
      </c>
      <c r="B14" s="5" t="inlineStr">
        <is>
          <t>지출</t>
        </is>
      </c>
      <c r="C14" s="5" t="inlineStr">
        <is>
          <t>보험</t>
        </is>
      </c>
      <c r="D14" s="5" t="inlineStr">
        <is>
          <t>보험료</t>
        </is>
      </c>
      <c r="E14" s="5" t="inlineStr">
        <is>
          <t>계좌이체</t>
        </is>
      </c>
      <c r="F14" s="6" t="n">
        <v>0</v>
      </c>
      <c r="G14" s="6" t="n">
        <v>145000</v>
      </c>
      <c r="H14" s="5" t="inlineStr">
        <is>
          <t>고정비</t>
        </is>
      </c>
      <c r="I14" s="5">
        <f>IF(G14&gt;=100000,"큰지출","")</f>
        <v/>
      </c>
    </row>
    <row r="15">
      <c r="A15" s="4" t="n">
        <v>46191</v>
      </c>
      <c r="B15" s="5" t="inlineStr">
        <is>
          <t>지출</t>
        </is>
      </c>
      <c r="C15" s="5" t="inlineStr">
        <is>
          <t>식비</t>
        </is>
      </c>
      <c r="D15" s="5" t="inlineStr">
        <is>
          <t>마트 장보기</t>
        </is>
      </c>
      <c r="E15" s="5" t="inlineStr">
        <is>
          <t>카드</t>
        </is>
      </c>
      <c r="F15" s="6" t="n">
        <v>0</v>
      </c>
      <c r="G15" s="6" t="n">
        <v>72300</v>
      </c>
      <c r="H15" s="5" t="inlineStr"/>
      <c r="I15" s="5">
        <f>IF(G15&gt;=100000,"큰지출","")</f>
        <v/>
      </c>
    </row>
    <row r="16">
      <c r="A16" s="4" t="n">
        <v>46193</v>
      </c>
      <c r="B16" s="5" t="inlineStr">
        <is>
          <t>지출</t>
        </is>
      </c>
      <c r="C16" s="5" t="inlineStr">
        <is>
          <t>문화</t>
        </is>
      </c>
      <c r="D16" s="5" t="inlineStr">
        <is>
          <t>영화/도서</t>
        </is>
      </c>
      <c r="E16" s="5" t="inlineStr">
        <is>
          <t>카드</t>
        </is>
      </c>
      <c r="F16" s="6" t="n">
        <v>0</v>
      </c>
      <c r="G16" s="6" t="n">
        <v>28000</v>
      </c>
      <c r="H16" s="5" t="inlineStr"/>
      <c r="I16" s="5">
        <f>IF(G16&gt;=100000,"큰지출","")</f>
        <v/>
      </c>
    </row>
    <row r="17">
      <c r="A17" s="4" t="n">
        <v>46195</v>
      </c>
      <c r="B17" s="5" t="inlineStr">
        <is>
          <t>지출</t>
        </is>
      </c>
      <c r="C17" s="5" t="inlineStr">
        <is>
          <t>경조사</t>
        </is>
      </c>
      <c r="D17" s="5" t="inlineStr">
        <is>
          <t>축의금</t>
        </is>
      </c>
      <c r="E17" s="5" t="inlineStr">
        <is>
          <t>현금</t>
        </is>
      </c>
      <c r="F17" s="6" t="n">
        <v>0</v>
      </c>
      <c r="G17" s="6" t="n">
        <v>100000</v>
      </c>
      <c r="H17" s="5" t="inlineStr"/>
      <c r="I17" s="5">
        <f>IF(G17&gt;=100000,"큰지출","")</f>
        <v/>
      </c>
    </row>
    <row r="18">
      <c r="A18" s="4" t="n">
        <v>46198</v>
      </c>
      <c r="B18" s="5" t="inlineStr">
        <is>
          <t>지출</t>
        </is>
      </c>
      <c r="C18" s="5" t="inlineStr">
        <is>
          <t>식비</t>
        </is>
      </c>
      <c r="D18" s="5" t="inlineStr">
        <is>
          <t>외식</t>
        </is>
      </c>
      <c r="E18" s="5" t="inlineStr">
        <is>
          <t>카드</t>
        </is>
      </c>
      <c r="F18" s="6" t="n">
        <v>0</v>
      </c>
      <c r="G18" s="6" t="n">
        <v>55000</v>
      </c>
      <c r="H18" s="5" t="inlineStr"/>
      <c r="I18" s="5">
        <f>IF(G18&gt;=100000,"큰지출","")</f>
        <v/>
      </c>
    </row>
    <row r="19">
      <c r="A19" s="4" t="n">
        <v>46201</v>
      </c>
      <c r="B19" s="5" t="inlineStr">
        <is>
          <t>지출</t>
        </is>
      </c>
      <c r="C19" s="5" t="inlineStr">
        <is>
          <t>기타</t>
        </is>
      </c>
      <c r="D19" s="5" t="inlineStr">
        <is>
          <t>예비비 사용</t>
        </is>
      </c>
      <c r="E19" s="5" t="inlineStr">
        <is>
          <t>현금</t>
        </is>
      </c>
      <c r="F19" s="6" t="n">
        <v>0</v>
      </c>
      <c r="G19" s="6" t="n">
        <v>30000</v>
      </c>
      <c r="H19" s="5" t="inlineStr"/>
      <c r="I19" s="5">
        <f>IF(G19&gt;=100000,"큰지출","")</f>
        <v/>
      </c>
    </row>
  </sheetData>
  <autoFilter ref="A4:I19"/>
  <mergeCells count="2">
    <mergeCell ref="A1:I1"/>
    <mergeCell ref="A2:I2"/>
  </mergeCells>
  <conditionalFormatting sqref="G5:G19">
    <cfRule type="cellIs" priority="1" operator="greaterThanOrEqual" dxfId="0">
      <formula>100000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월간 요약</t>
        </is>
      </c>
    </row>
    <row r="2">
      <c r="A2" s="2" t="inlineStr">
        <is>
          <t>가계부에서 가장 자주 확인하는 숫자입니다.</t>
        </is>
      </c>
    </row>
    <row r="4">
      <c r="A4" s="3" t="inlineStr">
        <is>
          <t>항목</t>
        </is>
      </c>
      <c r="B4" s="3" t="inlineStr">
        <is>
          <t>값</t>
        </is>
      </c>
      <c r="C4" s="3" t="inlineStr">
        <is>
          <t>사용 기능</t>
        </is>
      </c>
    </row>
    <row r="5">
      <c r="A5" s="5" t="inlineStr">
        <is>
          <t>총수입</t>
        </is>
      </c>
      <c r="B5" s="6">
        <f>SUM(가계부!F5:F19)</f>
        <v/>
      </c>
      <c r="C5" s="5" t="inlineStr">
        <is>
          <t>SUM</t>
        </is>
      </c>
    </row>
    <row r="6">
      <c r="A6" s="5" t="inlineStr">
        <is>
          <t>총지출</t>
        </is>
      </c>
      <c r="B6" s="6">
        <f>SUM(가계부!G5:G19)</f>
        <v/>
      </c>
      <c r="C6" s="5" t="inlineStr">
        <is>
          <t>SUM</t>
        </is>
      </c>
    </row>
    <row r="7">
      <c r="A7" s="5" t="inlineStr">
        <is>
          <t>남은돈</t>
        </is>
      </c>
      <c r="B7" s="6">
        <f>B5-B6</f>
        <v/>
      </c>
      <c r="C7" s="5" t="inlineStr">
        <is>
          <t>수입-지출</t>
        </is>
      </c>
    </row>
    <row r="8">
      <c r="A8" s="5" t="inlineStr">
        <is>
          <t>지출건수</t>
        </is>
      </c>
      <c r="B8" s="6">
        <f>COUNTIF(가계부!B5:B19,"지출")</f>
        <v/>
      </c>
      <c r="C8" s="5" t="inlineStr">
        <is>
          <t>COUNTIF</t>
        </is>
      </c>
    </row>
    <row r="9">
      <c r="A9" s="5" t="inlineStr">
        <is>
          <t>하루 평균 지출</t>
        </is>
      </c>
      <c r="B9" s="6">
        <f>B6/30</f>
        <v/>
      </c>
      <c r="C9" s="5" t="inlineStr">
        <is>
          <t>나누기</t>
        </is>
      </c>
    </row>
    <row r="10">
      <c r="A10" s="5" t="inlineStr">
        <is>
          <t>저축 가능 여부</t>
        </is>
      </c>
      <c r="B10" s="5">
        <f>IF(B7&gt;=300000,"가능","조정필요")</f>
        <v/>
      </c>
      <c r="C10" s="5" t="inlineStr">
        <is>
          <t>IF</t>
        </is>
      </c>
    </row>
    <row r="12">
      <c r="A12" s="3" t="inlineStr">
        <is>
          <t>결제수단</t>
        </is>
      </c>
      <c r="B12" s="3" t="inlineStr">
        <is>
          <t>지출합계</t>
        </is>
      </c>
      <c r="C12" s="3" t="inlineStr">
        <is>
          <t>건수</t>
        </is>
      </c>
    </row>
    <row r="13">
      <c r="A13" s="5" t="inlineStr">
        <is>
          <t>카드</t>
        </is>
      </c>
      <c r="B13" s="6">
        <f>SUMIF(가계부!E5:E19,A13,가계부!G5:G19)</f>
        <v/>
      </c>
      <c r="C13" s="5">
        <f>COUNTIF(가계부!E5:E19,A13)</f>
        <v/>
      </c>
    </row>
    <row r="14">
      <c r="A14" s="5" t="inlineStr">
        <is>
          <t>현금</t>
        </is>
      </c>
      <c r="B14" s="6">
        <f>SUMIF(가계부!E5:E19,A14,가계부!G5:G19)</f>
        <v/>
      </c>
      <c r="C14" s="5">
        <f>COUNTIF(가계부!E5:E19,A14)</f>
        <v/>
      </c>
    </row>
    <row r="15">
      <c r="A15" s="5" t="inlineStr">
        <is>
          <t>계좌이체</t>
        </is>
      </c>
      <c r="B15" s="6">
        <f>SUMIF(가계부!E5:E19,A15,가계부!G5:G19)</f>
        <v/>
      </c>
      <c r="C15" s="5">
        <f>COUNTIF(가계부!E5:E19,A15)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24" customHeight="1">
      <c r="A1" s="1" t="inlineStr">
        <is>
          <t>항목별 예산 확인</t>
        </is>
      </c>
    </row>
    <row r="2">
      <c r="A2" s="2" t="inlineStr">
        <is>
          <t>SUMIF와 IF로 예산 초과 항목을 찾습니다.</t>
        </is>
      </c>
    </row>
    <row r="4">
      <c r="A4" s="3" t="inlineStr">
        <is>
          <t>항목</t>
        </is>
      </c>
      <c r="B4" s="3" t="inlineStr">
        <is>
          <t>예산</t>
        </is>
      </c>
      <c r="C4" s="3" t="inlineStr">
        <is>
          <t>실제지출</t>
        </is>
      </c>
      <c r="D4" s="3" t="inlineStr">
        <is>
          <t>차이</t>
        </is>
      </c>
      <c r="E4" s="3" t="inlineStr">
        <is>
          <t>판정</t>
        </is>
      </c>
      <c r="F4" s="3" t="inlineStr">
        <is>
          <t>메모</t>
        </is>
      </c>
    </row>
    <row r="5">
      <c r="A5" s="5" t="inlineStr">
        <is>
          <t>식비</t>
        </is>
      </c>
      <c r="B5" s="6" t="n">
        <v>230000</v>
      </c>
      <c r="C5" s="6">
        <f>SUMIF(가계부!C5:C19,A5,가계부!G5:G19)</f>
        <v/>
      </c>
      <c r="D5" s="6">
        <f>B5-C5</f>
        <v/>
      </c>
      <c r="E5" s="5">
        <f>IF(C5&gt;B5,"예산초과","정상")</f>
        <v/>
      </c>
      <c r="F5" s="5" t="inlineStr"/>
    </row>
    <row r="6">
      <c r="A6" s="5" t="inlineStr">
        <is>
          <t>주거</t>
        </is>
      </c>
      <c r="B6" s="6" t="n">
        <v>650000</v>
      </c>
      <c r="C6" s="6">
        <f>SUMIF(가계부!C5:C19,A6,가계부!G5:G19)</f>
        <v/>
      </c>
      <c r="D6" s="6">
        <f>B6-C6</f>
        <v/>
      </c>
      <c r="E6" s="5">
        <f>IF(C6&gt;B6,"예산초과","정상")</f>
        <v/>
      </c>
      <c r="F6" s="5" t="inlineStr"/>
    </row>
    <row r="7">
      <c r="A7" s="5" t="inlineStr">
        <is>
          <t>교통</t>
        </is>
      </c>
      <c r="B7" s="6" t="n">
        <v>70000</v>
      </c>
      <c r="C7" s="6">
        <f>SUMIF(가계부!C5:C19,A7,가계부!G5:G19)</f>
        <v/>
      </c>
      <c r="D7" s="6">
        <f>B7-C7</f>
        <v/>
      </c>
      <c r="E7" s="5">
        <f>IF(C7&gt;B7,"예산초과","정상")</f>
        <v/>
      </c>
      <c r="F7" s="5" t="inlineStr"/>
    </row>
    <row r="8">
      <c r="A8" s="5" t="inlineStr">
        <is>
          <t>통신</t>
        </is>
      </c>
      <c r="B8" s="6" t="n">
        <v>70000</v>
      </c>
      <c r="C8" s="6">
        <f>SUMIF(가계부!C5:C19,A8,가계부!G5:G19)</f>
        <v/>
      </c>
      <c r="D8" s="6">
        <f>B8-C8</f>
        <v/>
      </c>
      <c r="E8" s="5">
        <f>IF(C8&gt;B8,"예산초과","정상")</f>
        <v/>
      </c>
      <c r="F8" s="5" t="inlineStr"/>
    </row>
    <row r="9">
      <c r="A9" s="5" t="inlineStr">
        <is>
          <t>의료</t>
        </is>
      </c>
      <c r="B9" s="6" t="n">
        <v>50000</v>
      </c>
      <c r="C9" s="6">
        <f>SUMIF(가계부!C5:C19,A9,가계부!G5:G19)</f>
        <v/>
      </c>
      <c r="D9" s="6">
        <f>B9-C9</f>
        <v/>
      </c>
      <c r="E9" s="5">
        <f>IF(C9&gt;B9,"예산초과","정상")</f>
        <v/>
      </c>
      <c r="F9" s="5" t="inlineStr"/>
    </row>
    <row r="10">
      <c r="A10" s="5" t="inlineStr">
        <is>
          <t>생활용품</t>
        </is>
      </c>
      <c r="B10" s="6" t="n">
        <v>60000</v>
      </c>
      <c r="C10" s="6">
        <f>SUMIF(가계부!C5:C19,A10,가계부!G5:G19)</f>
        <v/>
      </c>
      <c r="D10" s="6">
        <f>B10-C10</f>
        <v/>
      </c>
      <c r="E10" s="5">
        <f>IF(C10&gt;B10,"예산초과","정상")</f>
        <v/>
      </c>
      <c r="F10" s="5" t="inlineStr"/>
    </row>
    <row r="11">
      <c r="A11" s="5" t="inlineStr">
        <is>
          <t>보험</t>
        </is>
      </c>
      <c r="B11" s="6" t="n">
        <v>150000</v>
      </c>
      <c r="C11" s="6">
        <f>SUMIF(가계부!C5:C19,A11,가계부!G5:G19)</f>
        <v/>
      </c>
      <c r="D11" s="6">
        <f>B11-C11</f>
        <v/>
      </c>
      <c r="E11" s="5">
        <f>IF(C11&gt;B11,"예산초과","정상")</f>
        <v/>
      </c>
      <c r="F11" s="5" t="inlineStr"/>
    </row>
    <row r="12">
      <c r="A12" s="5" t="inlineStr">
        <is>
          <t>문화</t>
        </is>
      </c>
      <c r="B12" s="6" t="n">
        <v>50000</v>
      </c>
      <c r="C12" s="6">
        <f>SUMIF(가계부!C5:C19,A12,가계부!G5:G19)</f>
        <v/>
      </c>
      <c r="D12" s="6">
        <f>B12-C12</f>
        <v/>
      </c>
      <c r="E12" s="5">
        <f>IF(C12&gt;B12,"예산초과","정상")</f>
        <v/>
      </c>
      <c r="F12" s="5" t="inlineStr"/>
    </row>
    <row r="13">
      <c r="A13" s="5" t="inlineStr">
        <is>
          <t>경조사</t>
        </is>
      </c>
      <c r="B13" s="6" t="n">
        <v>80000</v>
      </c>
      <c r="C13" s="6">
        <f>SUMIF(가계부!C5:C19,A13,가계부!G5:G19)</f>
        <v/>
      </c>
      <c r="D13" s="6">
        <f>B13-C13</f>
        <v/>
      </c>
      <c r="E13" s="5">
        <f>IF(C13&gt;B13,"예산초과","정상")</f>
        <v/>
      </c>
      <c r="F13" s="5" t="inlineStr"/>
    </row>
    <row r="14">
      <c r="A14" s="5" t="inlineStr">
        <is>
          <t>기타</t>
        </is>
      </c>
      <c r="B14" s="6" t="n">
        <v>50000</v>
      </c>
      <c r="C14" s="6">
        <f>SUMIF(가계부!C5:C19,A14,가계부!G5:G19)</f>
        <v/>
      </c>
      <c r="D14" s="6">
        <f>B14-C14</f>
        <v/>
      </c>
      <c r="E14" s="5">
        <f>IF(C14&gt;B14,"예산초과","정상")</f>
        <v/>
      </c>
      <c r="F14" s="5" t="inlineStr"/>
    </row>
  </sheetData>
  <autoFilter ref="A4:F14"/>
  <mergeCells count="2">
    <mergeCell ref="A2:F2"/>
    <mergeCell ref="A1:F1"/>
  </mergeCells>
  <conditionalFormatting sqref="E5:E14">
    <cfRule type="cellIs" priority="1" operator="equal" dxfId="0">
      <formula>"예산초과"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2" customWidth="1" min="3" max="3"/>
  </cols>
  <sheetData>
    <row r="1" ht="24" customHeight="1">
      <c r="A1" s="1" t="inlineStr">
        <is>
          <t>실습 순서</t>
        </is>
      </c>
    </row>
    <row r="2">
      <c r="A2" s="2" t="inlineStr">
        <is>
          <t>수업 시간에 이 순서대로 진행합니다.</t>
        </is>
      </c>
    </row>
    <row r="4">
      <c r="A4" s="3" t="inlineStr">
        <is>
          <t>순서</t>
        </is>
      </c>
      <c r="B4" s="3" t="inlineStr">
        <is>
          <t>할 일</t>
        </is>
      </c>
      <c r="C4" s="3" t="inlineStr">
        <is>
          <t>확인</t>
        </is>
      </c>
    </row>
    <row r="5">
      <c r="A5" s="5" t="n">
        <v>1</v>
      </c>
      <c r="B5" s="5" t="inlineStr">
        <is>
          <t>가계부 시트에서 수입과 지출 입력 구조를 확인합니다.</t>
        </is>
      </c>
      <c r="C5" s="5" t="inlineStr"/>
    </row>
    <row r="6">
      <c r="A6" s="5" t="n">
        <v>2</v>
      </c>
      <c r="B6" s="5" t="inlineStr">
        <is>
          <t>월간요약 시트에서 총수입, 총지출, 남은돈 수식을 확인합니다.</t>
        </is>
      </c>
      <c r="C6" s="5" t="inlineStr"/>
    </row>
    <row r="7">
      <c r="A7" s="5" t="n">
        <v>3</v>
      </c>
      <c r="B7" s="5" t="inlineStr">
        <is>
          <t>항목별예산 시트에서 식비, 주거, 교통비 합계를 확인합니다.</t>
        </is>
      </c>
      <c r="C7" s="5" t="inlineStr"/>
    </row>
    <row r="8">
      <c r="A8" s="5" t="n">
        <v>4</v>
      </c>
      <c r="B8" s="5" t="inlineStr">
        <is>
          <t>예산초과 항목을 조건부 서식 색으로 찾습니다.</t>
        </is>
      </c>
      <c r="C8" s="5" t="inlineStr"/>
    </row>
    <row r="9">
      <c r="A9" s="5" t="n">
        <v>5</v>
      </c>
      <c r="B9" s="5" t="inlineStr">
        <is>
          <t>가계부 시트 필터로 카드 지출만 확인합니다.</t>
        </is>
      </c>
      <c r="C9" s="5" t="inlineStr"/>
    </row>
    <row r="10">
      <c r="A10" s="5" t="n">
        <v>6</v>
      </c>
      <c r="B10" s="5" t="inlineStr">
        <is>
          <t>가계부 시트에서 지출액 큰 순서로 정렬합니다.</t>
        </is>
      </c>
      <c r="C10" s="5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2026-06-12T03:31:10Z</dcterms:created>
  <dcterms:modified xmlns:dcterms="http://purl.org/dc/terms/" xmlns:xsi="http://www.w3.org/2001/XMLSchema-instance" xsi:type="dcterms:W3CDTF">2026-06-12T03:31:10Z</dcterms:modified>
</cp:coreProperties>
</file>