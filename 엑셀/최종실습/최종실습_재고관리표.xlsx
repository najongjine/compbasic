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  <sheet xmlns:r="http://schemas.openxmlformats.org/officeDocument/2006/relationships" name="입출고기록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발주목록" sheetId="4" state="visible" r:id="rId4"/>
    <sheet xmlns:r="http://schemas.openxmlformats.org/officeDocument/2006/relationships" name="실습순서" sheetId="5" state="visible" r:id="rId5"/>
  </sheets>
  <definedNames>
    <definedName name="_xlnm._FilterDatabase" localSheetId="0" hidden="1">'재고현황'!$A$4:$K$12</definedName>
    <definedName name="_xlnm._FilterDatabase" localSheetId="1" hidden="1">'입출고기록'!$A$4:$H$12</definedName>
    <definedName name="_xlnm._FilterDatabase" localSheetId="3" hidden="1">'발주목록'!$A$4:$H$8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4" customHeight="1">
      <c r="A1" s="1" t="inlineStr">
        <is>
          <t>재고 관리표</t>
        </is>
      </c>
    </row>
    <row r="2">
      <c r="A2" s="2" t="inlineStr">
        <is>
          <t>현재 재고와 안전재고를 비교해 발주 필요 품목을 찾습니다.</t>
        </is>
      </c>
    </row>
    <row r="4">
      <c r="A4" s="3" t="inlineStr">
        <is>
          <t>품목코드</t>
        </is>
      </c>
      <c r="B4" s="3" t="inlineStr">
        <is>
          <t>품목명</t>
        </is>
      </c>
      <c r="C4" s="3" t="inlineStr">
        <is>
          <t>분류</t>
        </is>
      </c>
      <c r="D4" s="3" t="inlineStr">
        <is>
          <t>기초재고</t>
        </is>
      </c>
      <c r="E4" s="3" t="inlineStr">
        <is>
          <t>입고수량</t>
        </is>
      </c>
      <c r="F4" s="3" t="inlineStr">
        <is>
          <t>출고수량</t>
        </is>
      </c>
      <c r="G4" s="3" t="inlineStr">
        <is>
          <t>현재재고</t>
        </is>
      </c>
      <c r="H4" s="3" t="inlineStr">
        <is>
          <t>안전재고</t>
        </is>
      </c>
      <c r="I4" s="3" t="inlineStr">
        <is>
          <t>단가</t>
        </is>
      </c>
      <c r="J4" s="3" t="inlineStr">
        <is>
          <t>재고금액</t>
        </is>
      </c>
      <c r="K4" s="3" t="inlineStr">
        <is>
          <t>상태</t>
        </is>
      </c>
    </row>
    <row r="5">
      <c r="A5" s="4" t="inlineStr">
        <is>
          <t>P-001</t>
        </is>
      </c>
      <c r="B5" s="4" t="inlineStr">
        <is>
          <t>원두 1kg</t>
        </is>
      </c>
      <c r="C5" s="4" t="inlineStr">
        <is>
          <t>원재료</t>
        </is>
      </c>
      <c r="D5" s="4" t="n">
        <v>12</v>
      </c>
      <c r="E5" s="4" t="n">
        <v>20</v>
      </c>
      <c r="F5" s="4" t="n">
        <v>26</v>
      </c>
      <c r="G5" s="4">
        <f>D5+E5-F5</f>
        <v/>
      </c>
      <c r="H5" s="4" t="n">
        <v>10</v>
      </c>
      <c r="I5" s="5" t="n">
        <v>18500</v>
      </c>
      <c r="J5" s="5">
        <f>G5*I5</f>
        <v/>
      </c>
      <c r="K5" s="4">
        <f>IF(G5&lt;H5,"발주필요","정상")</f>
        <v/>
      </c>
    </row>
    <row r="6">
      <c r="A6" s="4" t="inlineStr">
        <is>
          <t>P-002</t>
        </is>
      </c>
      <c r="B6" s="4" t="inlineStr">
        <is>
          <t>우유 1L</t>
        </is>
      </c>
      <c r="C6" s="4" t="inlineStr">
        <is>
          <t>원재료</t>
        </is>
      </c>
      <c r="D6" s="4" t="n">
        <v>30</v>
      </c>
      <c r="E6" s="4" t="n">
        <v>50</v>
      </c>
      <c r="F6" s="4" t="n">
        <v>58</v>
      </c>
      <c r="G6" s="4">
        <f>D6+E6-F6</f>
        <v/>
      </c>
      <c r="H6" s="4" t="n">
        <v>15</v>
      </c>
      <c r="I6" s="5" t="n">
        <v>2500</v>
      </c>
      <c r="J6" s="5">
        <f>G6*I6</f>
        <v/>
      </c>
      <c r="K6" s="4">
        <f>IF(G6&lt;H6,"발주필요","정상")</f>
        <v/>
      </c>
    </row>
    <row r="7">
      <c r="A7" s="4" t="inlineStr">
        <is>
          <t>P-003</t>
        </is>
      </c>
      <c r="B7" s="4" t="inlineStr">
        <is>
          <t>종이컵</t>
        </is>
      </c>
      <c r="C7" s="4" t="inlineStr">
        <is>
          <t>소모품</t>
        </is>
      </c>
      <c r="D7" s="4" t="n">
        <v>600</v>
      </c>
      <c r="E7" s="4" t="n">
        <v>1000</v>
      </c>
      <c r="F7" s="4" t="n">
        <v>1280</v>
      </c>
      <c r="G7" s="4">
        <f>D7+E7-F7</f>
        <v/>
      </c>
      <c r="H7" s="4" t="n">
        <v>300</v>
      </c>
      <c r="I7" s="5" t="n">
        <v>55</v>
      </c>
      <c r="J7" s="5">
        <f>G7*I7</f>
        <v/>
      </c>
      <c r="K7" s="4">
        <f>IF(G7&lt;H7,"발주필요","정상")</f>
        <v/>
      </c>
    </row>
    <row r="8">
      <c r="A8" s="4" t="inlineStr">
        <is>
          <t>P-004</t>
        </is>
      </c>
      <c r="B8" s="4" t="inlineStr">
        <is>
          <t>포장봉투</t>
        </is>
      </c>
      <c r="C8" s="4" t="inlineStr">
        <is>
          <t>소모품</t>
        </is>
      </c>
      <c r="D8" s="4" t="n">
        <v>450</v>
      </c>
      <c r="E8" s="4" t="n">
        <v>500</v>
      </c>
      <c r="F8" s="4" t="n">
        <v>720</v>
      </c>
      <c r="G8" s="4">
        <f>D8+E8-F8</f>
        <v/>
      </c>
      <c r="H8" s="4" t="n">
        <v>250</v>
      </c>
      <c r="I8" s="5" t="n">
        <v>80</v>
      </c>
      <c r="J8" s="5">
        <f>G8*I8</f>
        <v/>
      </c>
      <c r="K8" s="4">
        <f>IF(G8&lt;H8,"발주필요","정상")</f>
        <v/>
      </c>
    </row>
    <row r="9">
      <c r="A9" s="4" t="inlineStr">
        <is>
          <t>P-005</t>
        </is>
      </c>
      <c r="B9" s="4" t="inlineStr">
        <is>
          <t>샌드위치 포장지</t>
        </is>
      </c>
      <c r="C9" s="4" t="inlineStr">
        <is>
          <t>소모품</t>
        </is>
      </c>
      <c r="D9" s="4" t="n">
        <v>180</v>
      </c>
      <c r="E9" s="4" t="n">
        <v>300</v>
      </c>
      <c r="F9" s="4" t="n">
        <v>410</v>
      </c>
      <c r="G9" s="4">
        <f>D9+E9-F9</f>
        <v/>
      </c>
      <c r="H9" s="4" t="n">
        <v>120</v>
      </c>
      <c r="I9" s="5" t="n">
        <v>120</v>
      </c>
      <c r="J9" s="5">
        <f>G9*I9</f>
        <v/>
      </c>
      <c r="K9" s="4">
        <f>IF(G9&lt;H9,"발주필요","정상")</f>
        <v/>
      </c>
    </row>
    <row r="10">
      <c r="A10" s="4" t="inlineStr">
        <is>
          <t>P-006</t>
        </is>
      </c>
      <c r="B10" s="4" t="inlineStr">
        <is>
          <t>머그컵</t>
        </is>
      </c>
      <c r="C10" s="4" t="inlineStr">
        <is>
          <t>상품</t>
        </is>
      </c>
      <c r="D10" s="4" t="n">
        <v>24</v>
      </c>
      <c r="E10" s="4" t="n">
        <v>20</v>
      </c>
      <c r="F10" s="4" t="n">
        <v>31</v>
      </c>
      <c r="G10" s="4">
        <f>D10+E10-F10</f>
        <v/>
      </c>
      <c r="H10" s="4" t="n">
        <v>10</v>
      </c>
      <c r="I10" s="5" t="n">
        <v>5200</v>
      </c>
      <c r="J10" s="5">
        <f>G10*I10</f>
        <v/>
      </c>
      <c r="K10" s="4">
        <f>IF(G10&lt;H10,"발주필요","정상")</f>
        <v/>
      </c>
    </row>
    <row r="11">
      <c r="A11" s="4" t="inlineStr">
        <is>
          <t>P-007</t>
        </is>
      </c>
      <c r="B11" s="4" t="inlineStr">
        <is>
          <t>원두 200g</t>
        </is>
      </c>
      <c r="C11" s="4" t="inlineStr">
        <is>
          <t>상품</t>
        </is>
      </c>
      <c r="D11" s="4" t="n">
        <v>18</v>
      </c>
      <c r="E11" s="4" t="n">
        <v>30</v>
      </c>
      <c r="F11" s="4" t="n">
        <v>39</v>
      </c>
      <c r="G11" s="4">
        <f>D11+E11-F11</f>
        <v/>
      </c>
      <c r="H11" s="4" t="n">
        <v>12</v>
      </c>
      <c r="I11" s="5" t="n">
        <v>7200</v>
      </c>
      <c r="J11" s="5">
        <f>G11*I11</f>
        <v/>
      </c>
      <c r="K11" s="4">
        <f>IF(G11&lt;H11,"발주필요","정상")</f>
        <v/>
      </c>
    </row>
    <row r="12">
      <c r="A12" s="4" t="inlineStr">
        <is>
          <t>P-008</t>
        </is>
      </c>
      <c r="B12" s="4" t="inlineStr">
        <is>
          <t>영수증 용지</t>
        </is>
      </c>
      <c r="C12" s="4" t="inlineStr">
        <is>
          <t>소모품</t>
        </is>
      </c>
      <c r="D12" s="4" t="n">
        <v>8</v>
      </c>
      <c r="E12" s="4" t="n">
        <v>10</v>
      </c>
      <c r="F12" s="4" t="n">
        <v>14</v>
      </c>
      <c r="G12" s="4">
        <f>D12+E12-F12</f>
        <v/>
      </c>
      <c r="H12" s="4" t="n">
        <v>8</v>
      </c>
      <c r="I12" s="5" t="n">
        <v>960</v>
      </c>
      <c r="J12" s="5">
        <f>G12*I12</f>
        <v/>
      </c>
      <c r="K12" s="4">
        <f>IF(G12&lt;H12,"발주필요","정상")</f>
        <v/>
      </c>
    </row>
  </sheetData>
  <autoFilter ref="A4:K12"/>
  <mergeCells count="2">
    <mergeCell ref="A1:J1"/>
    <mergeCell ref="A2:J2"/>
  </mergeCells>
  <conditionalFormatting sqref="K5:K12">
    <cfRule type="cellIs" priority="1" operator="equal" dxfId="0">
      <formula>"발주필요"</formula>
    </cfRule>
  </conditionalFormatting>
  <conditionalFormatting sqref="G5:G12">
    <cfRule type="expression" priority="2" dxfId="0">
      <formula>$G5&lt;$H5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6" customWidth="1" min="7" max="7"/>
    <col width="16" customWidth="1" min="8" max="8"/>
  </cols>
  <sheetData>
    <row r="1" ht="24" customHeight="1">
      <c r="A1" s="1" t="inlineStr">
        <is>
          <t>입출고 기록</t>
        </is>
      </c>
    </row>
    <row r="2">
      <c r="A2" s="2" t="inlineStr">
        <is>
          <t>입고와 출고 내역을 날짜순으로 기록합니다.</t>
        </is>
      </c>
    </row>
    <row r="4">
      <c r="A4" s="3" t="inlineStr">
        <is>
          <t>날짜</t>
        </is>
      </c>
      <c r="B4" s="3" t="inlineStr">
        <is>
          <t>구분</t>
        </is>
      </c>
      <c r="C4" s="3" t="inlineStr">
        <is>
          <t>품목코드</t>
        </is>
      </c>
      <c r="D4" s="3" t="inlineStr">
        <is>
          <t>품목명</t>
        </is>
      </c>
      <c r="E4" s="3" t="inlineStr">
        <is>
          <t>수량</t>
        </is>
      </c>
      <c r="F4" s="3" t="inlineStr">
        <is>
          <t>담당자</t>
        </is>
      </c>
      <c r="G4" s="3" t="inlineStr">
        <is>
          <t>거래처/사용처</t>
        </is>
      </c>
      <c r="H4" s="3" t="inlineStr">
        <is>
          <t>메모</t>
        </is>
      </c>
    </row>
    <row r="5">
      <c r="A5" s="6" t="n">
        <v>46174</v>
      </c>
      <c r="B5" s="4" t="inlineStr">
        <is>
          <t>입고</t>
        </is>
      </c>
      <c r="C5" s="4" t="inlineStr">
        <is>
          <t>P-001</t>
        </is>
      </c>
      <c r="D5" s="4" t="inlineStr">
        <is>
          <t>원두 1kg</t>
        </is>
      </c>
      <c r="E5" s="4" t="n">
        <v>20</v>
      </c>
      <c r="F5" s="4" t="inlineStr">
        <is>
          <t>김지훈</t>
        </is>
      </c>
      <c r="G5" s="4" t="inlineStr">
        <is>
          <t>서울푸드</t>
        </is>
      </c>
      <c r="H5" s="4" t="inlineStr"/>
    </row>
    <row r="6">
      <c r="A6" s="6" t="n">
        <v>46174</v>
      </c>
      <c r="B6" s="4" t="inlineStr">
        <is>
          <t>출고</t>
        </is>
      </c>
      <c r="C6" s="4" t="inlineStr">
        <is>
          <t>P-003</t>
        </is>
      </c>
      <c r="D6" s="4" t="inlineStr">
        <is>
          <t>종이컵</t>
        </is>
      </c>
      <c r="E6" s="4" t="n">
        <v>400</v>
      </c>
      <c r="F6" s="4" t="inlineStr">
        <is>
          <t>박선영</t>
        </is>
      </c>
      <c r="G6" s="4" t="inlineStr">
        <is>
          <t>매장사용</t>
        </is>
      </c>
      <c r="H6" s="4" t="inlineStr"/>
    </row>
    <row r="7">
      <c r="A7" s="6" t="n">
        <v>46175</v>
      </c>
      <c r="B7" s="4" t="inlineStr">
        <is>
          <t>입고</t>
        </is>
      </c>
      <c r="C7" s="4" t="inlineStr">
        <is>
          <t>P-002</t>
        </is>
      </c>
      <c r="D7" s="4" t="inlineStr">
        <is>
          <t>우유 1L</t>
        </is>
      </c>
      <c r="E7" s="4" t="n">
        <v>50</v>
      </c>
      <c r="F7" s="4" t="inlineStr">
        <is>
          <t>김지훈</t>
        </is>
      </c>
      <c r="G7" s="4" t="inlineStr">
        <is>
          <t>삼익식품</t>
        </is>
      </c>
      <c r="H7" s="4" t="inlineStr"/>
    </row>
    <row r="8">
      <c r="A8" s="6" t="n">
        <v>46176</v>
      </c>
      <c r="B8" s="4" t="inlineStr">
        <is>
          <t>출고</t>
        </is>
      </c>
      <c r="C8" s="4" t="inlineStr">
        <is>
          <t>P-001</t>
        </is>
      </c>
      <c r="D8" s="4" t="inlineStr">
        <is>
          <t>원두 1kg</t>
        </is>
      </c>
      <c r="E8" s="4" t="n">
        <v>10</v>
      </c>
      <c r="F8" s="4" t="inlineStr">
        <is>
          <t>이민호</t>
        </is>
      </c>
      <c r="G8" s="4" t="inlineStr">
        <is>
          <t>매장사용</t>
        </is>
      </c>
      <c r="H8" s="4" t="inlineStr"/>
    </row>
    <row r="9">
      <c r="A9" s="6" t="n">
        <v>46177</v>
      </c>
      <c r="B9" s="4" t="inlineStr">
        <is>
          <t>출고</t>
        </is>
      </c>
      <c r="C9" s="4" t="inlineStr">
        <is>
          <t>P-004</t>
        </is>
      </c>
      <c r="D9" s="4" t="inlineStr">
        <is>
          <t>포장봉투</t>
        </is>
      </c>
      <c r="E9" s="4" t="n">
        <v>240</v>
      </c>
      <c r="F9" s="4" t="inlineStr">
        <is>
          <t>박선영</t>
        </is>
      </c>
      <c r="G9" s="4" t="inlineStr">
        <is>
          <t>포장사용</t>
        </is>
      </c>
      <c r="H9" s="4" t="inlineStr"/>
    </row>
    <row r="10">
      <c r="A10" s="6" t="n">
        <v>46178</v>
      </c>
      <c r="B10" s="4" t="inlineStr">
        <is>
          <t>입고</t>
        </is>
      </c>
      <c r="C10" s="4" t="inlineStr">
        <is>
          <t>P-006</t>
        </is>
      </c>
      <c r="D10" s="4" t="inlineStr">
        <is>
          <t>머그컵</t>
        </is>
      </c>
      <c r="E10" s="4" t="n">
        <v>20</v>
      </c>
      <c r="F10" s="4" t="inlineStr">
        <is>
          <t>김지훈</t>
        </is>
      </c>
      <c r="G10" s="4" t="inlineStr">
        <is>
          <t>에이스비품</t>
        </is>
      </c>
      <c r="H10" s="4" t="inlineStr"/>
    </row>
    <row r="11">
      <c r="A11" s="6" t="n">
        <v>46181</v>
      </c>
      <c r="B11" s="4" t="inlineStr">
        <is>
          <t>출고</t>
        </is>
      </c>
      <c r="C11" s="4" t="inlineStr">
        <is>
          <t>P-007</t>
        </is>
      </c>
      <c r="D11" s="4" t="inlineStr">
        <is>
          <t>원두 200g</t>
        </is>
      </c>
      <c r="E11" s="4" t="n">
        <v>18</v>
      </c>
      <c r="F11" s="4" t="inlineStr">
        <is>
          <t>이민호</t>
        </is>
      </c>
      <c r="G11" s="4" t="inlineStr">
        <is>
          <t>판매</t>
        </is>
      </c>
      <c r="H11" s="4" t="inlineStr"/>
    </row>
    <row r="12">
      <c r="A12" s="6" t="n">
        <v>46182</v>
      </c>
      <c r="B12" s="4" t="inlineStr">
        <is>
          <t>출고</t>
        </is>
      </c>
      <c r="C12" s="4" t="inlineStr">
        <is>
          <t>P-008</t>
        </is>
      </c>
      <c r="D12" s="4" t="inlineStr">
        <is>
          <t>영수증 용지</t>
        </is>
      </c>
      <c r="E12" s="4" t="n">
        <v>6</v>
      </c>
      <c r="F12" s="4" t="inlineStr">
        <is>
          <t>박선영</t>
        </is>
      </c>
      <c r="G12" s="4" t="inlineStr">
        <is>
          <t>매장사용</t>
        </is>
      </c>
      <c r="H12" s="4" t="inlineStr"/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4" customWidth="1" min="4" max="4"/>
    <col width="16" customWidth="1" min="5" max="5"/>
    <col width="12" customWidth="1" min="6" max="6"/>
    <col width="12" customWidth="1" min="7" max="7"/>
  </cols>
  <sheetData>
    <row r="1" ht="24" customHeight="1">
      <c r="A1" s="1" t="inlineStr">
        <is>
          <t>재고 요약</t>
        </is>
      </c>
    </row>
    <row r="2">
      <c r="A2" s="2" t="inlineStr">
        <is>
          <t>발주 대상과 재고금액을 한눈에 확인합니다.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사용 기능</t>
        </is>
      </c>
    </row>
    <row r="5">
      <c r="A5" s="4" t="inlineStr">
        <is>
          <t>전체 재고금액</t>
        </is>
      </c>
      <c r="B5" s="5">
        <f>SUM(재고현황!J5:J12)</f>
        <v/>
      </c>
      <c r="C5" s="4" t="inlineStr">
        <is>
          <t>SUM</t>
        </is>
      </c>
    </row>
    <row r="6">
      <c r="A6" s="4" t="inlineStr">
        <is>
          <t>발주필요 품목 수</t>
        </is>
      </c>
      <c r="B6" s="4">
        <f>COUNTIF(재고현황!K5:K12,"발주필요")</f>
        <v/>
      </c>
      <c r="C6" s="4" t="inlineStr">
        <is>
          <t>COUNTIF</t>
        </is>
      </c>
    </row>
    <row r="7">
      <c r="A7" s="4" t="inlineStr">
        <is>
          <t>가장 적은 현재재고</t>
        </is>
      </c>
      <c r="B7" s="4">
        <f>MIN(재고현황!G5:G12)</f>
        <v/>
      </c>
      <c r="C7" s="4" t="inlineStr">
        <is>
          <t>MIN</t>
        </is>
      </c>
    </row>
    <row r="8">
      <c r="A8" s="4" t="inlineStr">
        <is>
          <t>전체 입고수량</t>
        </is>
      </c>
      <c r="B8" s="4">
        <f>SUM(재고현황!E5:E12)</f>
        <v/>
      </c>
      <c r="C8" s="4" t="inlineStr">
        <is>
          <t>SUM</t>
        </is>
      </c>
    </row>
    <row r="9">
      <c r="A9" s="4" t="inlineStr">
        <is>
          <t>전체 출고수량</t>
        </is>
      </c>
      <c r="B9" s="4">
        <f>SUM(재고현황!F5:F12)</f>
        <v/>
      </c>
      <c r="C9" s="4" t="inlineStr">
        <is>
          <t>SUM</t>
        </is>
      </c>
    </row>
    <row r="11">
      <c r="A11" s="3" t="inlineStr">
        <is>
          <t>분류</t>
        </is>
      </c>
      <c r="B11" s="3" t="inlineStr">
        <is>
          <t>재고금액</t>
        </is>
      </c>
      <c r="C11" s="3" t="inlineStr">
        <is>
          <t>품목수</t>
        </is>
      </c>
    </row>
    <row r="12">
      <c r="A12" s="4" t="inlineStr">
        <is>
          <t>원재료</t>
        </is>
      </c>
      <c r="B12" s="5">
        <f>SUMIF(재고현황!C5:C12,A12,재고현황!J5:J12)</f>
        <v/>
      </c>
      <c r="C12" s="4">
        <f>COUNTIF(재고현황!C5:C12,A12)</f>
        <v/>
      </c>
    </row>
    <row r="13">
      <c r="A13" s="4" t="inlineStr">
        <is>
          <t>소모품</t>
        </is>
      </c>
      <c r="B13" s="5">
        <f>SUMIF(재고현황!C5:C12,A13,재고현황!J5:J12)</f>
        <v/>
      </c>
      <c r="C13" s="4">
        <f>COUNTIF(재고현황!C5:C12,A13)</f>
        <v/>
      </c>
    </row>
    <row r="14">
      <c r="A14" s="4" t="inlineStr">
        <is>
          <t>상품</t>
        </is>
      </c>
      <c r="B14" s="5">
        <f>SUMIF(재고현황!C5:C12,A14,재고현황!J5:J12)</f>
        <v/>
      </c>
      <c r="C14" s="4">
        <f>COUNTIF(재고현황!C5:C12,A14)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24" customHeight="1">
      <c r="A1" s="1" t="inlineStr">
        <is>
          <t>발주 목록</t>
        </is>
      </c>
    </row>
    <row r="2">
      <c r="A2" s="2" t="inlineStr">
        <is>
          <t>발주필요 품목을 옮겨 적고 주문 수량을 결정합니다.</t>
        </is>
      </c>
    </row>
    <row r="4">
      <c r="A4" s="3" t="inlineStr">
        <is>
          <t>품목코드</t>
        </is>
      </c>
      <c r="B4" s="3" t="inlineStr">
        <is>
          <t>품목명</t>
        </is>
      </c>
      <c r="C4" s="3" t="inlineStr">
        <is>
          <t>현재재고</t>
        </is>
      </c>
      <c r="D4" s="3" t="inlineStr">
        <is>
          <t>안전재고</t>
        </is>
      </c>
      <c r="E4" s="3" t="inlineStr">
        <is>
          <t>부족수량</t>
        </is>
      </c>
      <c r="F4" s="3" t="inlineStr">
        <is>
          <t>권장발주</t>
        </is>
      </c>
      <c r="G4" s="3" t="inlineStr">
        <is>
          <t>거래처</t>
        </is>
      </c>
      <c r="H4" s="3" t="inlineStr">
        <is>
          <t>처리</t>
        </is>
      </c>
    </row>
    <row r="5">
      <c r="A5" s="4" t="inlineStr">
        <is>
          <t>P-001</t>
        </is>
      </c>
      <c r="B5" s="4" t="inlineStr">
        <is>
          <t>원두 1kg</t>
        </is>
      </c>
      <c r="C5" s="4">
        <f>재고현황!G5</f>
        <v/>
      </c>
      <c r="D5" s="4">
        <f>재고현황!H5</f>
        <v/>
      </c>
      <c r="E5" s="4">
        <f>D5-C5</f>
        <v/>
      </c>
      <c r="F5" s="4">
        <f>IF(E5&gt;0,E5+10,0)</f>
        <v/>
      </c>
      <c r="G5" s="4" t="inlineStr">
        <is>
          <t>서울푸드</t>
        </is>
      </c>
      <c r="H5" s="4" t="inlineStr"/>
    </row>
    <row r="6">
      <c r="A6" s="4" t="inlineStr">
        <is>
          <t>P-004</t>
        </is>
      </c>
      <c r="B6" s="4" t="inlineStr">
        <is>
          <t>포장봉투</t>
        </is>
      </c>
      <c r="C6" s="4">
        <f>재고현황!G8</f>
        <v/>
      </c>
      <c r="D6" s="4">
        <f>재고현황!H8</f>
        <v/>
      </c>
      <c r="E6" s="4">
        <f>D6-C6</f>
        <v/>
      </c>
      <c r="F6" s="4">
        <f>IF(E6&gt;0,E6+10,0)</f>
        <v/>
      </c>
      <c r="G6" s="4" t="inlineStr">
        <is>
          <t>정다운상사</t>
        </is>
      </c>
      <c r="H6" s="4" t="inlineStr"/>
    </row>
    <row r="7">
      <c r="A7" s="4" t="inlineStr">
        <is>
          <t>P-005</t>
        </is>
      </c>
      <c r="B7" s="4" t="inlineStr">
        <is>
          <t>샌드위치 포장지</t>
        </is>
      </c>
      <c r="C7" s="4">
        <f>재고현황!G9</f>
        <v/>
      </c>
      <c r="D7" s="4">
        <f>재고현황!H9</f>
        <v/>
      </c>
      <c r="E7" s="4">
        <f>D7-C7</f>
        <v/>
      </c>
      <c r="F7" s="4">
        <f>IF(E7&gt;0,E7+10,0)</f>
        <v/>
      </c>
      <c r="G7" s="4" t="inlineStr">
        <is>
          <t>에이스비품</t>
        </is>
      </c>
      <c r="H7" s="4" t="inlineStr"/>
    </row>
    <row r="8">
      <c r="A8" s="4" t="inlineStr">
        <is>
          <t>P-008</t>
        </is>
      </c>
      <c r="B8" s="4" t="inlineStr">
        <is>
          <t>영수증 용지</t>
        </is>
      </c>
      <c r="C8" s="4">
        <f>재고현황!G12</f>
        <v/>
      </c>
      <c r="D8" s="4">
        <f>재고현황!H12</f>
        <v/>
      </c>
      <c r="E8" s="4">
        <f>D8-C8</f>
        <v/>
      </c>
      <c r="F8" s="4">
        <f>IF(E8&gt;0,E8+10,0)</f>
        <v/>
      </c>
      <c r="G8" s="4" t="inlineStr">
        <is>
          <t>에이스비품</t>
        </is>
      </c>
      <c r="H8" s="4" t="inlineStr"/>
    </row>
  </sheetData>
  <autoFilter ref="A4:H8"/>
  <mergeCells count="2">
    <mergeCell ref="A2:H2"/>
    <mergeCell ref="A1:H1"/>
  </mergeCells>
  <conditionalFormatting sqref="E5:E8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</cols>
  <sheetData>
    <row r="1" ht="24" customHeight="1">
      <c r="A1" s="1" t="inlineStr">
        <is>
          <t>실습 순서</t>
        </is>
      </c>
    </row>
    <row r="2">
      <c r="A2" s="2" t="inlineStr">
        <is>
          <t>수업 시간에 이 순서대로 진행합니다.</t>
        </is>
      </c>
    </row>
    <row r="4">
      <c r="A4" s="3" t="inlineStr">
        <is>
          <t>순서</t>
        </is>
      </c>
      <c r="B4" s="3" t="inlineStr">
        <is>
          <t>할 일</t>
        </is>
      </c>
      <c r="C4" s="3" t="inlineStr">
        <is>
          <t>확인</t>
        </is>
      </c>
    </row>
    <row r="5">
      <c r="A5" s="4" t="n">
        <v>1</v>
      </c>
      <c r="B5" s="4" t="inlineStr">
        <is>
          <t>재고현황 시트에서 현재재고 수식을 확인합니다.</t>
        </is>
      </c>
      <c r="C5" s="4" t="inlineStr"/>
    </row>
    <row r="6">
      <c r="A6" s="4" t="n">
        <v>2</v>
      </c>
      <c r="B6" s="4" t="inlineStr">
        <is>
          <t>상태 열의 IF 수식으로 발주필요 여부를 확인합니다.</t>
        </is>
      </c>
      <c r="C6" s="4" t="inlineStr"/>
    </row>
    <row r="7">
      <c r="A7" s="4" t="n">
        <v>3</v>
      </c>
      <c r="B7" s="4" t="inlineStr">
        <is>
          <t>필터로 발주필요 품목만 봅니다.</t>
        </is>
      </c>
      <c r="C7" s="4" t="inlineStr"/>
    </row>
    <row r="8">
      <c r="A8" s="4" t="n">
        <v>4</v>
      </c>
      <c r="B8" s="4" t="inlineStr">
        <is>
          <t>현재재고가 적은 순서로 정렬합니다.</t>
        </is>
      </c>
      <c r="C8" s="4" t="inlineStr"/>
    </row>
    <row r="9">
      <c r="A9" s="4" t="n">
        <v>5</v>
      </c>
      <c r="B9" s="4" t="inlineStr">
        <is>
          <t>요약 시트에서 전체 재고금액과 발주필요 품목 수를 확인합니다.</t>
        </is>
      </c>
      <c r="C9" s="4" t="inlineStr"/>
    </row>
    <row r="10">
      <c r="A10" s="4" t="n">
        <v>6</v>
      </c>
      <c r="B10" s="4" t="inlineStr">
        <is>
          <t>발주목록 시트에서 권장발주 수량을 확인합니다.</t>
        </is>
      </c>
      <c r="C10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2026-06-12T03:48:03Z</dcterms:created>
  <dcterms:modified xmlns:dcterms="http://purl.org/dc/terms/" xmlns:xsi="http://www.w3.org/2001/XMLSchema-instance" xsi:type="dcterms:W3CDTF">2026-06-12T03:48:03Z</dcterms:modified>
</cp:coreProperties>
</file>