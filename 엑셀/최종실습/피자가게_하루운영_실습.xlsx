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200dcd058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따라칠자료" sheetId="1" r:id="Ra41e391b4b1646fa"/>
    <x:sheet xmlns:r="http://schemas.openxmlformats.org/officeDocument/2006/relationships" name="02_직접실습" sheetId="2" r:id="Raf48f8c5673544a9"/>
    <x:sheet xmlns:r="http://schemas.openxmlformats.org/officeDocument/2006/relationships" name="03_정답확인" sheetId="3" r:id="R3101ba840c1e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#,##0;[Red]-#,##0;0"/>
  </x:numFmts>
  <x:fonts count="7">
    <x:font>
      <x:sz val="11"/>
      <x:name val="Carlito"/>
    </x:font>
    <x:font>
      <x:sz val="11"/>
      <x:color rgb="FF303A3E"/>
      <x:name val="Noto Sans KR"/>
    </x:font>
    <x:font>
      <x:b/>
      <x:sz val="17"/>
      <x:color rgb="FF8D3D2A"/>
      <x:name val="Noto Sans KR"/>
    </x:font>
    <x:font>
      <x:b/>
      <x:sz val="11"/>
      <x:color rgb="FFFFFFFF"/>
      <x:name val="Noto Sans KR"/>
    </x:font>
    <x:font>
      <x:b/>
      <x:sz val="11"/>
      <x:color rgb="FF303A3E"/>
      <x:name val="Noto Sans KR"/>
    </x:font>
    <x:font>
      <x:b/>
      <x:sz val="11"/>
      <x:color rgb="FF8D3D2A"/>
      <x:name val="Noto Sans KR"/>
    </x:font>
    <x:font>
      <x:sz val="11"/>
      <x:color rgb="FF59666B"/>
      <x:name val="Noto Sans KR"/>
    </x:font>
  </x:fonts>
  <x:fills count="7">
    <x:fill>
      <x:patternFill patternType="none"/>
    </x:fill>
    <x:fill>
      <x:patternFill patternType="gray125"/>
    </x:fill>
    <x:fill>
      <x:patternFill patternType="solid">
        <x:fgColor rgb="FF8D3D2A"/>
      </x:patternFill>
    </x:fill>
    <x:fill>
      <x:patternFill patternType="solid">
        <x:fgColor rgb="FFF7F5F2"/>
      </x:patternFill>
    </x:fill>
    <x:fill>
      <x:patternFill patternType="solid">
        <x:fgColor rgb="FFF1F3F4"/>
      </x:patternFill>
    </x:fill>
    <x:fill>
      <x:patternFill patternType="solid">
        <x:fgColor rgb="FFE7F1E5"/>
      </x:patternFill>
    </x:fill>
    <x:fill>
      <x:patternFill patternType="solid">
        <x:fgColor rgb="FFFFF1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C2929"/>
      </x:font>
      <x:fill>
        <x:patternFill patternType="solid">
          <x:bgColor rgb="FFFCE1D6"/>
        </x:patternFill>
      </x:fill>
    </x:dxf>
    <x:dxf>
      <x:font>
        <x:b/>
        <x:color rgb="FFAC2929"/>
      </x:font>
      <x:fill>
        <x:patternFill patternType="solid">
          <x:bgColor rgb="FFFCE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fea2ecad649f7" /><Relationship Type="http://schemas.openxmlformats.org/officeDocument/2006/relationships/theme" Target="/xl/theme/theme1.xml" Id="Rb22fc626ef824811" /><Relationship Type="http://schemas.openxmlformats.org/officeDocument/2006/relationships/sharedStrings" Target="/xl/sharedStrings.xml" Id="Raf1b098f490142d1" /><Relationship Type="http://schemas.openxmlformats.org/officeDocument/2006/relationships/worksheet" Target="/xl/worksheets/sheet1.xml" Id="Ra41e391b4b1646fa" /><Relationship Type="http://schemas.openxmlformats.org/officeDocument/2006/relationships/worksheet" Target="/xl/worksheets/sheet2.xml" Id="Raf48f8c5673544a9" /><Relationship Type="http://schemas.openxmlformats.org/officeDocument/2006/relationships/worksheet" Target="/xl/worksheets/sheet3.xml" Id="R3101ba840c1e4438" /></Relationships>
</file>

<file path=xl/tables/table1.xml><?xml version="1.0" encoding="utf-8"?>
<x:table xmlns:x="http://schemas.openxmlformats.org/spreadsheetml/2006/main" id="1" name="PizzaPractice" displayName="PizzaPractice" ref="A6:M26" headerRowCount="1" totalsRowCount="0" totalsRowShown="0">
  <x:tableColumns count="13">
    <x:tableColumn id="1" name="주문시간"/>
    <x:tableColumn id="2" name="주문번호"/>
    <x:tableColumn id="3" name="판매방식"/>
    <x:tableColumn id="4" name="메뉴"/>
    <x:tableColumn id="5" name="수량"/>
    <x:tableColumn id="6" name="판매단가"/>
    <x:tableColumn id="7" name="재료단가"/>
    <x:tableColumn id="8" name="매출액"/>
    <x:tableColumn id="9" name="재료비"/>
    <x:tableColumn id="10" name="수수료"/>
    <x:tableColumn id="11" name="배달부담"/>
    <x:tableColumn id="12" name="할인액"/>
    <x:tableColumn id="13" name="주문잔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zzaAnswer" displayName="PizzaAnswer" ref="A6:M26" headerRowCount="1" totalsRowCount="0" totalsRowShown="0">
  <x:tableColumns count="13">
    <x:tableColumn id="1" name="주문시간"/>
    <x:tableColumn id="2" name="주문번호"/>
    <x:tableColumn id="3" name="판매방식"/>
    <x:tableColumn id="4" name="메뉴"/>
    <x:tableColumn id="5" name="수량"/>
    <x:tableColumn id="6" name="판매단가"/>
    <x:tableColumn id="7" name="재료단가"/>
    <x:tableColumn id="8" name="매출액"/>
    <x:tableColumn id="9" name="재료비"/>
    <x:tableColumn id="10" name="수수료"/>
    <x:tableColumn id="11" name="배달부담"/>
    <x:tableColumn id="12" name="할인액"/>
    <x:tableColumn id="13" name="주문잔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bc79c6736744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52b0da0ab4f7e" /></Relationships>
</file>

<file path=xl/worksheets/sheet1.xml><?xml version="1.0" encoding="utf-8"?>
<x:worksheet xmlns:x="http://schemas.openxmlformats.org/spreadsheetml/2006/main">
  <x:sheetPr>
    <x:tabColor rgb="FF8D3D2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22" hidden="0" customWidth="1"/>
    <x:col min="5" max="5" width="8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" t="str">
        <x:v>피자가게 하루 장사 · 따라칠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 t="str">
        <x:v>2026-10-21 가상 주문 15건. 아래 자료를 보고 02_직접실습에 입력하세요.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2" t="str">
        <x:v>한 행은 같은 메뉴 한 종류를 주문한 1건입니다. 금액 단위는 원입니다.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6" t="str">
        <x:v>주문시간</x:v>
      </x:c>
      <x:c r="B6" s="6" t="str">
        <x:v>주문번호</x:v>
      </x:c>
      <x:c r="C6" s="6" t="str">
        <x:v>판매방식</x:v>
      </x:c>
      <x:c r="D6" s="6" t="str">
        <x:v>메뉴</x:v>
      </x:c>
      <x:c r="E6" s="6" t="str">
        <x:v>수량</x:v>
      </x:c>
      <x:c r="F6" s="6" t="str">
        <x:v>판매단가</x:v>
      </x:c>
      <x:c r="G6" s="6" t="str">
        <x:v>재료단가</x:v>
      </x:c>
      <x:c r="H6" s="6" t="str">
        <x:v>매출액</x:v>
      </x:c>
      <x:c r="I6" s="6" t="str">
        <x:v>재료비</x:v>
      </x:c>
      <x:c r="J6" s="6" t="str">
        <x:v>수수료</x:v>
      </x:c>
      <x:c r="K6" s="6" t="str">
        <x:v>배달부담</x:v>
      </x:c>
      <x:c r="L6" s="6" t="str">
        <x:v>할인액</x:v>
      </x:c>
      <x:c r="M6" s="6" t="str">
        <x:v>주문잔액</x:v>
      </x:c>
    </x:row>
    <x:row r="7" ht="28" customHeight="1">
      <x:c r="A7" s="9" t="n">
        <x:v>0.4791666666666667</x:v>
      </x:c>
      <x:c r="B7" s="10" t="str">
        <x:v>P001</x:v>
      </x:c>
      <x:c r="C7" s="10" t="str">
        <x:v>매장</x:v>
      </x:c>
      <x:c r="D7" s="10" t="str">
        <x:v>치즈피자</x:v>
      </x:c>
      <x:c r="E7" s="11" t="n">
        <x:v>1</x:v>
      </x:c>
      <x:c r="F7" s="11" t="n">
        <x:v>16000</x:v>
      </x:c>
      <x:c r="G7" s="11" t="n">
        <x:v>5500</x:v>
      </x:c>
      <x:c r="H7" s="12"/>
      <x:c r="I7" s="12"/>
      <x:c r="J7" s="11" t="n">
        <x:v>0</x:v>
      </x:c>
      <x:c r="K7" s="11" t="n">
        <x:v>0</x:v>
      </x:c>
      <x:c r="L7" s="11" t="n">
        <x:v>0</x:v>
      </x:c>
      <x:c r="M7" s="12"/>
    </x:row>
    <x:row r="8" ht="28" customHeight="1">
      <x:c r="A8" s="9" t="n">
        <x:v>0.4895833333333333</x:v>
      </x:c>
      <x:c r="B8" s="10" t="str">
        <x:v>P002</x:v>
      </x:c>
      <x:c r="C8" s="10" t="str">
        <x:v>포장</x:v>
      </x:c>
      <x:c r="D8" s="10" t="str">
        <x:v>페퍼로니피자</x:v>
      </x:c>
      <x:c r="E8" s="11" t="n">
        <x:v>2</x:v>
      </x:c>
      <x:c r="F8" s="11" t="n">
        <x:v>18000</x:v>
      </x:c>
      <x:c r="G8" s="11" t="n">
        <x:v>6500</x:v>
      </x:c>
      <x:c r="H8" s="12"/>
      <x:c r="I8" s="12"/>
      <x:c r="J8" s="11" t="n">
        <x:v>0</x:v>
      </x:c>
      <x:c r="K8" s="11" t="n">
        <x:v>0</x:v>
      </x:c>
      <x:c r="L8" s="11" t="n">
        <x:v>2000</x:v>
      </x:c>
      <x:c r="M8" s="12"/>
    </x:row>
    <x:row r="9" ht="28" customHeight="1">
      <x:c r="A9" s="9" t="n">
        <x:v>0.5</x:v>
      </x:c>
      <x:c r="B9" s="10" t="str">
        <x:v>P003</x:v>
      </x:c>
      <x:c r="C9" s="10" t="str">
        <x:v>배달앱</x:v>
      </x:c>
      <x:c r="D9" s="10" t="str">
        <x:v>불고기피자</x:v>
      </x:c>
      <x:c r="E9" s="11" t="n">
        <x:v>1</x:v>
      </x:c>
      <x:c r="F9" s="11" t="n">
        <x:v>21000</x:v>
      </x:c>
      <x:c r="G9" s="11" t="n">
        <x:v>8000</x:v>
      </x:c>
      <x:c r="H9" s="12"/>
      <x:c r="I9" s="12"/>
      <x:c r="J9" s="11" t="n">
        <x:v>2100</x:v>
      </x:c>
      <x:c r="K9" s="11" t="n">
        <x:v>3000</x:v>
      </x:c>
      <x:c r="L9" s="11" t="n">
        <x:v>0</x:v>
      </x:c>
      <x:c r="M9" s="12"/>
    </x:row>
    <x:row r="10" ht="28" customHeight="1">
      <x:c r="A10" s="9" t="n">
        <x:v>0.5138888888888888</x:v>
      </x:c>
      <x:c r="B10" s="10" t="str">
        <x:v>P004</x:v>
      </x:c>
      <x:c r="C10" s="10" t="str">
        <x:v>배달앱</x:v>
      </x:c>
      <x:c r="D10" s="10" t="str">
        <x:v>페퍼로니피자</x:v>
      </x:c>
      <x:c r="E10" s="11" t="n">
        <x:v>1</x:v>
      </x:c>
      <x:c r="F10" s="11" t="n">
        <x:v>18000</x:v>
      </x:c>
      <x:c r="G10" s="11" t="n">
        <x:v>6500</x:v>
      </x:c>
      <x:c r="H10" s="12"/>
      <x:c r="I10" s="12"/>
      <x:c r="J10" s="11" t="n">
        <x:v>1800</x:v>
      </x:c>
      <x:c r="K10" s="11" t="n">
        <x:v>3000</x:v>
      </x:c>
      <x:c r="L10" s="11" t="n">
        <x:v>0</x:v>
      </x:c>
      <x:c r="M10" s="12"/>
    </x:row>
    <x:row r="11" ht="28" customHeight="1">
      <x:c r="A11" s="9" t="n">
        <x:v>0.5277777777777778</x:v>
      </x:c>
      <x:c r="B11" s="10" t="str">
        <x:v>P005</x:v>
      </x:c>
      <x:c r="C11" s="10" t="str">
        <x:v>매장</x:v>
      </x:c>
      <x:c r="D11" s="10" t="str">
        <x:v>고구마피자</x:v>
      </x:c>
      <x:c r="E11" s="11" t="n">
        <x:v>2</x:v>
      </x:c>
      <x:c r="F11" s="11" t="n">
        <x:v>20000</x:v>
      </x:c>
      <x:c r="G11" s="11" t="n">
        <x:v>7500</x:v>
      </x:c>
      <x:c r="H11" s="12"/>
      <x:c r="I11" s="12"/>
      <x:c r="J11" s="11" t="n">
        <x:v>0</x:v>
      </x:c>
      <x:c r="K11" s="11" t="n">
        <x:v>0</x:v>
      </x:c>
      <x:c r="L11" s="11" t="n">
        <x:v>0</x:v>
      </x:c>
      <x:c r="M11" s="12"/>
    </x:row>
    <x:row r="12" ht="28" customHeight="1">
      <x:c r="A12" s="9" t="n">
        <x:v>0.5486111111111112</x:v>
      </x:c>
      <x:c r="B12" s="10" t="str">
        <x:v>P006</x:v>
      </x:c>
      <x:c r="C12" s="10" t="str">
        <x:v>포장</x:v>
      </x:c>
      <x:c r="D12" s="10" t="str">
        <x:v>콤비네이션피자</x:v>
      </x:c>
      <x:c r="E12" s="11" t="n">
        <x:v>1</x:v>
      </x:c>
      <x:c r="F12" s="11" t="n">
        <x:v>22000</x:v>
      </x:c>
      <x:c r="G12" s="11" t="n">
        <x:v>8500</x:v>
      </x:c>
      <x:c r="H12" s="12"/>
      <x:c r="I12" s="12"/>
      <x:c r="J12" s="11" t="n">
        <x:v>0</x:v>
      </x:c>
      <x:c r="K12" s="11" t="n">
        <x:v>0</x:v>
      </x:c>
      <x:c r="L12" s="11" t="n">
        <x:v>2000</x:v>
      </x:c>
      <x:c r="M12" s="12"/>
    </x:row>
    <x:row r="13" ht="28" customHeight="1">
      <x:c r="A13" s="9" t="n">
        <x:v>0.5625</x:v>
      </x:c>
      <x:c r="B13" s="10" t="str">
        <x:v>P007</x:v>
      </x:c>
      <x:c r="C13" s="10" t="str">
        <x:v>배달앱</x:v>
      </x:c>
      <x:c r="D13" s="10" t="str">
        <x:v>치즈피자</x:v>
      </x:c>
      <x:c r="E13" s="11" t="n">
        <x:v>1</x:v>
      </x:c>
      <x:c r="F13" s="11" t="n">
        <x:v>16000</x:v>
      </x:c>
      <x:c r="G13" s="11" t="n">
        <x:v>5500</x:v>
      </x:c>
      <x:c r="H13" s="12"/>
      <x:c r="I13" s="12"/>
      <x:c r="J13" s="11" t="n">
        <x:v>1600</x:v>
      </x:c>
      <x:c r="K13" s="11" t="n">
        <x:v>3000</x:v>
      </x:c>
      <x:c r="L13" s="11" t="n">
        <x:v>0</x:v>
      </x:c>
      <x:c r="M13" s="12"/>
    </x:row>
    <x:row r="14" ht="28" customHeight="1">
      <x:c r="A14" s="9" t="n">
        <x:v>0.7083333333333334</x:v>
      </x:c>
      <x:c r="B14" s="10" t="str">
        <x:v>P008</x:v>
      </x:c>
      <x:c r="C14" s="10" t="str">
        <x:v>매장</x:v>
      </x:c>
      <x:c r="D14" s="10" t="str">
        <x:v>페퍼로니피자</x:v>
      </x:c>
      <x:c r="E14" s="11" t="n">
        <x:v>1</x:v>
      </x:c>
      <x:c r="F14" s="11" t="n">
        <x:v>18000</x:v>
      </x:c>
      <x:c r="G14" s="11" t="n">
        <x:v>6500</x:v>
      </x:c>
      <x:c r="H14" s="12"/>
      <x:c r="I14" s="12"/>
      <x:c r="J14" s="11" t="n">
        <x:v>0</x:v>
      </x:c>
      <x:c r="K14" s="11" t="n">
        <x:v>0</x:v>
      </x:c>
      <x:c r="L14" s="11" t="n">
        <x:v>0</x:v>
      </x:c>
      <x:c r="M14" s="12"/>
    </x:row>
    <x:row r="15" ht="28" customHeight="1">
      <x:c r="A15" s="9" t="n">
        <x:v>0.7222222222222222</x:v>
      </x:c>
      <x:c r="B15" s="10" t="str">
        <x:v>P009</x:v>
      </x:c>
      <x:c r="C15" s="10" t="str">
        <x:v>포장</x:v>
      </x:c>
      <x:c r="D15" s="10" t="str">
        <x:v>불고기피자</x:v>
      </x:c>
      <x:c r="E15" s="11" t="n">
        <x:v>2</x:v>
      </x:c>
      <x:c r="F15" s="11" t="n">
        <x:v>21000</x:v>
      </x:c>
      <x:c r="G15" s="11" t="n">
        <x:v>8000</x:v>
      </x:c>
      <x:c r="H15" s="12"/>
      <x:c r="I15" s="12"/>
      <x:c r="J15" s="11" t="n">
        <x:v>0</x:v>
      </x:c>
      <x:c r="K15" s="11" t="n">
        <x:v>0</x:v>
      </x:c>
      <x:c r="L15" s="11" t="n">
        <x:v>2000</x:v>
      </x:c>
      <x:c r="M15" s="12"/>
    </x:row>
    <x:row r="16" ht="28" customHeight="1">
      <x:c r="A16" s="9" t="n">
        <x:v>0.7361111111111112</x:v>
      </x:c>
      <x:c r="B16" s="10" t="str">
        <x:v>P010</x:v>
      </x:c>
      <x:c r="C16" s="10" t="str">
        <x:v>배달앱</x:v>
      </x:c>
      <x:c r="D16" s="10" t="str">
        <x:v>고구마피자</x:v>
      </x:c>
      <x:c r="E16" s="11" t="n">
        <x:v>1</x:v>
      </x:c>
      <x:c r="F16" s="11" t="n">
        <x:v>20000</x:v>
      </x:c>
      <x:c r="G16" s="11" t="n">
        <x:v>7500</x:v>
      </x:c>
      <x:c r="H16" s="12"/>
      <x:c r="I16" s="12"/>
      <x:c r="J16" s="11" t="n">
        <x:v>2000</x:v>
      </x:c>
      <x:c r="K16" s="11" t="n">
        <x:v>3000</x:v>
      </x:c>
      <x:c r="L16" s="11" t="n">
        <x:v>1000</x:v>
      </x:c>
      <x:c r="M16" s="12"/>
    </x:row>
    <x:row r="17" ht="28" customHeight="1">
      <x:c r="A17" s="9" t="n">
        <x:v>0.75</x:v>
      </x:c>
      <x:c r="B17" s="10" t="str">
        <x:v>P011</x:v>
      </x:c>
      <x:c r="C17" s="10" t="str">
        <x:v>배달앱</x:v>
      </x:c>
      <x:c r="D17" s="10" t="str">
        <x:v>콤비네이션피자</x:v>
      </x:c>
      <x:c r="E17" s="11" t="n">
        <x:v>2</x:v>
      </x:c>
      <x:c r="F17" s="11" t="n">
        <x:v>22000</x:v>
      </x:c>
      <x:c r="G17" s="11" t="n">
        <x:v>8500</x:v>
      </x:c>
      <x:c r="H17" s="12"/>
      <x:c r="I17" s="12"/>
      <x:c r="J17" s="11" t="n">
        <x:v>4400</x:v>
      </x:c>
      <x:c r="K17" s="11" t="n">
        <x:v>3000</x:v>
      </x:c>
      <x:c r="L17" s="11" t="n">
        <x:v>2000</x:v>
      </x:c>
      <x:c r="M17" s="12"/>
    </x:row>
    <x:row r="18" ht="28" customHeight="1">
      <x:c r="A18" s="9" t="n">
        <x:v>0.7638888888888888</x:v>
      </x:c>
      <x:c r="B18" s="10" t="str">
        <x:v>P012</x:v>
      </x:c>
      <x:c r="C18" s="10" t="str">
        <x:v>매장</x:v>
      </x:c>
      <x:c r="D18" s="10" t="str">
        <x:v>콤비네이션피자</x:v>
      </x:c>
      <x:c r="E18" s="11" t="n">
        <x:v>1</x:v>
      </x:c>
      <x:c r="F18" s="11" t="n">
        <x:v>22000</x:v>
      </x:c>
      <x:c r="G18" s="11" t="n">
        <x:v>8500</x:v>
      </x:c>
      <x:c r="H18" s="12"/>
      <x:c r="I18" s="12"/>
      <x:c r="J18" s="11" t="n">
        <x:v>0</x:v>
      </x:c>
      <x:c r="K18" s="11" t="n">
        <x:v>0</x:v>
      </x:c>
      <x:c r="L18" s="11" t="n">
        <x:v>0</x:v>
      </x:c>
      <x:c r="M18" s="12"/>
    </x:row>
    <x:row r="19" ht="28" customHeight="1">
      <x:c r="A19" s="9" t="n">
        <x:v>0.7777777777777778</x:v>
      </x:c>
      <x:c r="B19" s="10" t="str">
        <x:v>P013</x:v>
      </x:c>
      <x:c r="C19" s="10" t="str">
        <x:v>포장</x:v>
      </x:c>
      <x:c r="D19" s="10" t="str">
        <x:v>치즈피자</x:v>
      </x:c>
      <x:c r="E19" s="11" t="n">
        <x:v>1</x:v>
      </x:c>
      <x:c r="F19" s="11" t="n">
        <x:v>16000</x:v>
      </x:c>
      <x:c r="G19" s="11" t="n">
        <x:v>5500</x:v>
      </x:c>
      <x:c r="H19" s="12"/>
      <x:c r="I19" s="12"/>
      <x:c r="J19" s="11" t="n">
        <x:v>0</x:v>
      </x:c>
      <x:c r="K19" s="11" t="n">
        <x:v>0</x:v>
      </x:c>
      <x:c r="L19" s="11" t="n">
        <x:v>2000</x:v>
      </x:c>
      <x:c r="M19" s="12"/>
    </x:row>
    <x:row r="20" ht="28" customHeight="1">
      <x:c r="A20" s="9" t="n">
        <x:v>0.7916666666666666</x:v>
      </x:c>
      <x:c r="B20" s="10" t="str">
        <x:v>P014</x:v>
      </x:c>
      <x:c r="C20" s="10" t="str">
        <x:v>배달앱</x:v>
      </x:c>
      <x:c r="D20" s="10" t="str">
        <x:v>페퍼로니피자</x:v>
      </x:c>
      <x:c r="E20" s="11" t="n">
        <x:v>1</x:v>
      </x:c>
      <x:c r="F20" s="11" t="n">
        <x:v>18000</x:v>
      </x:c>
      <x:c r="G20" s="11" t="n">
        <x:v>6500</x:v>
      </x:c>
      <x:c r="H20" s="12"/>
      <x:c r="I20" s="12"/>
      <x:c r="J20" s="11" t="n">
        <x:v>1800</x:v>
      </x:c>
      <x:c r="K20" s="11" t="n">
        <x:v>3000</x:v>
      </x:c>
      <x:c r="L20" s="11" t="n">
        <x:v>8000</x:v>
      </x:c>
      <x:c r="M20" s="12"/>
    </x:row>
    <x:row r="21" ht="28" customHeight="1">
      <x:c r="A21" s="9" t="n">
        <x:v>0.8125</x:v>
      </x:c>
      <x:c r="B21" s="10" t="str">
        <x:v>P015</x:v>
      </x:c>
      <x:c r="C21" s="10" t="str">
        <x:v>매장</x:v>
      </x:c>
      <x:c r="D21" s="10" t="str">
        <x:v>불고기피자</x:v>
      </x:c>
      <x:c r="E21" s="11" t="n">
        <x:v>2</x:v>
      </x:c>
      <x:c r="F21" s="11" t="n">
        <x:v>21000</x:v>
      </x:c>
      <x:c r="G21" s="11" t="n">
        <x:v>8000</x:v>
      </x:c>
      <x:c r="H21" s="12"/>
      <x:c r="I21" s="12"/>
      <x:c r="J21" s="11" t="n">
        <x:v>0</x:v>
      </x:c>
      <x:c r="K21" s="11" t="n">
        <x:v>0</x:v>
      </x:c>
      <x:c r="L21" s="11" t="n">
        <x:v>0</x:v>
      </x:c>
      <x:c r="M21" s="12"/>
    </x:row>
    <x:row r="22" ht="28" customHeight="1">
      <x:c r="A22" s="9"/>
      <x:c r="B22" s="10"/>
      <x:c r="C22" s="10"/>
      <x:c r="D22" s="10"/>
      <x:c r="E22" s="11"/>
      <x:c r="F22" s="11"/>
      <x:c r="G22" s="11"/>
      <x:c r="H22" s="12"/>
      <x:c r="I22" s="12"/>
      <x:c r="J22" s="11"/>
      <x:c r="K22" s="11"/>
      <x:c r="L22" s="11"/>
      <x:c r="M22" s="12"/>
    </x:row>
    <x:row r="23" ht="28" customHeight="1">
      <x:c r="A23" s="9"/>
      <x:c r="B23" s="10"/>
      <x:c r="C23" s="10"/>
      <x:c r="D23" s="10"/>
      <x:c r="E23" s="11"/>
      <x:c r="F23" s="11"/>
      <x:c r="G23" s="11"/>
      <x:c r="H23" s="12"/>
      <x:c r="I23" s="12"/>
      <x:c r="J23" s="11"/>
      <x:c r="K23" s="11"/>
      <x:c r="L23" s="11"/>
      <x:c r="M23" s="12"/>
    </x:row>
    <x:row r="24" ht="28" customHeight="1">
      <x:c r="A24" s="9"/>
      <x:c r="B24" s="10"/>
      <x:c r="C24" s="10"/>
      <x:c r="D24" s="10"/>
      <x:c r="E24" s="11"/>
      <x:c r="F24" s="11"/>
      <x:c r="G24" s="11"/>
      <x:c r="H24" s="12"/>
      <x:c r="I24" s="12"/>
      <x:c r="J24" s="11"/>
      <x:c r="K24" s="11"/>
      <x:c r="L24" s="11"/>
      <x:c r="M24" s="12"/>
    </x:row>
    <x:row r="25" ht="28" customHeight="1">
      <x:c r="A25" s="9"/>
      <x:c r="B25" s="10"/>
      <x:c r="C25" s="10"/>
      <x:c r="D25" s="10"/>
      <x:c r="E25" s="11"/>
      <x:c r="F25" s="11"/>
      <x:c r="G25" s="11"/>
      <x:c r="H25" s="12"/>
      <x:c r="I25" s="12"/>
      <x:c r="J25" s="11"/>
      <x:c r="K25" s="11"/>
      <x:c r="L25" s="11"/>
      <x:c r="M25" s="12"/>
    </x:row>
    <x:row r="26" ht="28" customHeight="1">
      <x:c r="A26" s="9"/>
      <x:c r="B26" s="10"/>
      <x:c r="C26" s="10"/>
      <x:c r="D26" s="10"/>
      <x:c r="E26" s="11"/>
      <x:c r="F26" s="11"/>
      <x:c r="G26" s="11"/>
      <x:c r="H26" s="12"/>
      <x:c r="I26" s="12"/>
      <x:c r="J26" s="11"/>
      <x:c r="K26" s="11"/>
      <x:c r="L26" s="11"/>
      <x:c r="M26" s="12"/>
    </x:row>
    <x:row r="27" ht="26" customHeight="1">
      <x:c r="A27" s="2"/>
      <x:c r="B27" s="2"/>
      <x:c r="C27" s="2"/>
      <x:c r="D27" s="2"/>
      <x:c r="E27" s="8"/>
      <x:c r="F27" s="8"/>
      <x:c r="G27" s="8"/>
      <x:c r="H27" s="8"/>
      <x:c r="I27" s="8"/>
      <x:c r="J27" s="8"/>
      <x:c r="K27" s="8"/>
      <x:c r="L27" s="8"/>
      <x:c r="M27" s="8"/>
    </x:row>
    <x:row r="28" ht="26" customHeight="1">
      <x:c r="A28" s="14" t="str">
        <x:v>주문 합계</x:v>
      </x:c>
      <x:c r="B28" s="14"/>
      <x:c r="C28" s="14"/>
      <x:c r="D28" s="14"/>
      <x:c r="E28" s="15"/>
      <x:c r="F28" s="15"/>
      <x:c r="G28" s="15"/>
      <x:c r="H28" s="15"/>
      <x:c r="I28" s="15"/>
      <x:c r="J28" s="15"/>
      <x:c r="K28" s="15"/>
      <x:c r="L28" s="15"/>
      <x:c r="M28" s="15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6" customHeight="1">
      <x:c r="A31" s="16" t="str">
        <x:v>하루 마감 · 오늘 얼마가 남았을까?</x:v>
      </x:c>
      <x:c r="B31" s="2"/>
      <x:c r="C31" s="2"/>
      <x:c r="D31" s="2"/>
      <x:c r="E31" s="2"/>
      <x:c r="F31" s="2"/>
      <x:c r="G31" s="16" t="str">
        <x:v>실습에서 사용하는 기준</x:v>
      </x:c>
      <x:c r="H31" s="2"/>
      <x:c r="I31" s="2"/>
      <x:c r="J31" s="2"/>
      <x:c r="K31" s="2"/>
      <x:c r="L31" s="2"/>
      <x:c r="M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32" customHeight="1">
      <x:c r="A33" s="6" t="str">
        <x:v>마감 항목</x:v>
      </x:c>
      <x:c r="B33" s="6" t="str">
        <x:v>금액</x:v>
      </x:c>
      <x:c r="C33" s="6" t="str">
        <x:v>계산 방법</x:v>
      </x:c>
      <x:c r="D33" s="2"/>
      <x:c r="E33" s="2"/>
      <x:c r="F33" s="2"/>
      <x:c r="G33" s="2" t="str">
        <x:v>수수료는 제시한 가상 금액을 입력합니다.</x:v>
      </x:c>
      <x:c r="H33" s="2"/>
      <x:c r="I33" s="2"/>
      <x:c r="J33" s="2"/>
      <x:c r="K33" s="2"/>
      <x:c r="L33" s="2"/>
      <x:c r="M33" s="2"/>
    </x:row>
    <x:row r="34" ht="26" customHeight="1">
      <x:c r="A34" s="2" t="str">
        <x:v>할인 전 매출</x:v>
      </x:c>
      <x:c r="B34" s="12"/>
      <x:c r="C34" s="21" t="str">
        <x:v>주문 매출액 합계</x:v>
      </x:c>
      <x:c r="D34" s="2"/>
      <x:c r="E34" s="2"/>
      <x:c r="F34" s="2"/>
      <x:c r="G34" s="2" t="str">
        <x:v>배달부담은 고객 부담분을 뺀 가게 부담액입니다.</x:v>
      </x:c>
      <x:c r="H34" s="2"/>
      <x:c r="I34" s="2"/>
      <x:c r="J34" s="2"/>
      <x:c r="K34" s="2"/>
      <x:c r="L34" s="2"/>
      <x:c r="M34" s="2"/>
    </x:row>
    <x:row r="35" ht="26" customHeight="1">
      <x:c r="A35" s="2" t="str">
        <x:v>할인 합계</x:v>
      </x:c>
      <x:c r="B35" s="12"/>
      <x:c r="C35" s="21" t="str">
        <x:v>가게가 부담한 할인액 합계</x:v>
      </x:c>
      <x:c r="D35" s="2"/>
      <x:c r="E35" s="2"/>
      <x:c r="F35" s="2"/>
      <x:c r="G35" s="2" t="str">
        <x:v>할인액은 가게가 부담한 주문 전체 할인액입니다.</x:v>
      </x:c>
      <x:c r="H35" s="2"/>
      <x:c r="I35" s="2"/>
      <x:c r="J35" s="2"/>
      <x:c r="K35" s="2"/>
      <x:c r="L35" s="2"/>
      <x:c r="M35" s="2"/>
    </x:row>
    <x:row r="36" ht="26" customHeight="1">
      <x:c r="A36" s="2" t="str">
        <x:v>할인 후 매출</x:v>
      </x:c>
      <x:c r="B36" s="12"/>
      <x:c r="C36" s="21" t="str">
        <x:v>할인 전 매출 - 할인 합계</x:v>
      </x:c>
      <x:c r="D36" s="2"/>
      <x:c r="E36" s="2"/>
      <x:c r="F36" s="2"/>
      <x:c r="G36" s="2" t="str">
        <x:v>재료단가는 피자 1판의 재료·포장 원가입니다.</x:v>
      </x:c>
      <x:c r="H36" s="2"/>
      <x:c r="I36" s="2"/>
      <x:c r="J36" s="2"/>
      <x:c r="K36" s="2"/>
      <x:c r="L36" s="2"/>
      <x:c r="M36" s="2"/>
    </x:row>
    <x:row r="37" ht="26" customHeight="1">
      <x:c r="A37" s="2" t="str">
        <x:v>재료비 합계</x:v>
      </x:c>
      <x:c r="B37" s="12"/>
      <x:c r="C37" s="21" t="str">
        <x:v>재료비 열 합계</x:v>
      </x:c>
      <x:c r="D37" s="2"/>
      <x:c r="E37" s="2"/>
      <x:c r="F37" s="2"/>
      <x:c r="G37" s="2" t="str">
        <x:v>주문잔액 = 매출액 - 재료비 - 수수료</x:v>
      </x:c>
      <x:c r="H37" s="2"/>
      <x:c r="I37" s="2"/>
      <x:c r="J37" s="2"/>
      <x:c r="K37" s="2"/>
      <x:c r="L37" s="2"/>
      <x:c r="M37" s="2"/>
    </x:row>
    <x:row r="38" ht="26" customHeight="1">
      <x:c r="A38" s="2" t="str">
        <x:v>수수료 합계</x:v>
      </x:c>
      <x:c r="B38" s="12"/>
      <x:c r="C38" s="21" t="str">
        <x:v>수수료 열 합계</x:v>
      </x:c>
      <x:c r="D38" s="2"/>
      <x:c r="E38" s="2"/>
      <x:c r="F38" s="2"/>
      <x:c r="G38" s="2" t="str">
        <x:v>                  - 배달부담 - 할인액</x:v>
      </x:c>
      <x:c r="H38" s="2"/>
      <x:c r="I38" s="2"/>
      <x:c r="J38" s="2"/>
      <x:c r="K38" s="2"/>
      <x:c r="L38" s="2"/>
      <x:c r="M38" s="2"/>
    </x:row>
    <x:row r="39" ht="26" customHeight="1">
      <x:c r="A39" s="2" t="str">
        <x:v>배달부담 합계</x:v>
      </x:c>
      <x:c r="B39" s="12"/>
      <x:c r="C39" s="21" t="str">
        <x:v>배달부담 열 합계</x:v>
      </x:c>
      <x:c r="D39" s="2"/>
      <x:c r="E39" s="2"/>
      <x:c r="F39" s="2"/>
      <x:c r="G39" s="2" t="str">
        <x:v>임대료·공과금은 기타 하루 비용에 한 번만 넣습니다.</x:v>
      </x:c>
      <x:c r="H39" s="2"/>
      <x:c r="I39" s="2"/>
      <x:c r="J39" s="2"/>
      <x:c r="K39" s="2"/>
      <x:c r="L39" s="2"/>
      <x:c r="M39" s="2"/>
    </x:row>
    <x:row r="40" ht="26" customHeight="1">
      <x:c r="A40" s="2" t="str">
        <x:v>주문잔액 합계</x:v>
      </x:c>
      <x:c r="B40" s="12"/>
      <x:c r="C40" s="21" t="str">
        <x:v>주문잔액 열 합계</x:v>
      </x:c>
      <x:c r="D40" s="2"/>
      <x:c r="E40" s="2"/>
      <x:c r="F40" s="2"/>
      <x:c r="G40" s="2" t="str">
        <x:v>사장 본인 인건비·세금은 별도로 반영하지 않았습니다.</x:v>
      </x:c>
      <x:c r="H40" s="2"/>
      <x:c r="I40" s="2"/>
      <x:c r="J40" s="2"/>
      <x:c r="K40" s="2"/>
      <x:c r="L40" s="2"/>
      <x:c r="M40" s="2"/>
    </x:row>
    <x:row r="41" ht="26" customHeight="1">
      <x:c r="A41" s="2" t="str">
        <x:v>오늘 인건비</x:v>
      </x:c>
      <x:c r="B41" s="11" t="n">
        <x:v>120000</x:v>
      </x:c>
      <x:c r="C41" s="21" t="str">
        <x:v>아르바이트 등 당일 인건비</x:v>
      </x:c>
      <x:c r="D41" s="2"/>
      <x:c r="E41" s="2"/>
      <x:c r="F41" s="2"/>
      <x:c r="G41" s="2" t="str">
        <x:v>실제 앱의 요율·정산 구조를 재현한 자료는 아닙니다.</x:v>
      </x:c>
      <x:c r="H41" s="2"/>
      <x:c r="I41" s="2"/>
      <x:c r="J41" s="2"/>
      <x:c r="K41" s="2"/>
      <x:c r="L41" s="2"/>
      <x:c r="M41" s="2"/>
    </x:row>
    <x:row r="42" ht="26" customHeight="1">
      <x:c r="A42" s="2" t="str">
        <x:v>기타 하루 비용</x:v>
      </x:c>
      <x:c r="B42" s="11" t="n">
        <x:v>40000</x:v>
      </x:c>
      <x:c r="C42" s="21" t="str">
        <x:v>임대료·공과금 등 하루 배분액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6" customHeight="1">
      <x:c r="A43" s="19" t="str">
        <x:v>하루 예상잔액</x:v>
      </x:c>
      <x:c r="B43" s="20"/>
      <x:c r="C43" s="21" t="str">
        <x:v>주문잔액 합계 - 인건비 - 기타 하루 비용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6" customHeight="1">
      <x:c r="A46" s="16" t="str">
        <x:v>어떤 메뉴가 잘 팔렸을까?</x:v>
      </x:c>
      <x:c r="B46" s="2"/>
      <x:c r="C46" s="2"/>
      <x:c r="D46" s="2"/>
      <x:c r="E46" s="2"/>
      <x:c r="F46" s="2"/>
      <x:c r="G46" s="16" t="str">
        <x:v>매장·포장·배달앱 비교</x:v>
      </x:c>
      <x:c r="H46" s="2"/>
      <x:c r="I46" s="2"/>
      <x:c r="J46" s="2"/>
      <x:c r="K46" s="2"/>
      <x:c r="L46" s="2"/>
      <x:c r="M46" s="2"/>
    </x:row>
    <x:row r="47" ht="32" customHeight="1">
      <x:c r="A47" s="6" t="str">
        <x:v>메뉴</x:v>
      </x:c>
      <x:c r="B47" s="6" t="str">
        <x:v>판매수량</x:v>
      </x:c>
      <x:c r="C47" s="6" t="str">
        <x:v>매출액</x:v>
      </x:c>
      <x:c r="D47" s="6" t="str">
        <x:v>주문잔액</x:v>
      </x:c>
      <x:c r="E47" s="2"/>
      <x:c r="F47" s="2"/>
      <x:c r="G47" s="6" t="str">
        <x:v>판매방식</x:v>
      </x:c>
      <x:c r="H47" s="6" t="str">
        <x:v>주문건수</x:v>
      </x:c>
      <x:c r="I47" s="6" t="str">
        <x:v>매출액</x:v>
      </x:c>
      <x:c r="J47" s="6" t="str">
        <x:v>주문잔액</x:v>
      </x:c>
      <x:c r="K47" s="2"/>
      <x:c r="L47" s="2"/>
      <x:c r="M47" s="2"/>
    </x:row>
    <x:row r="48" ht="26" customHeight="1">
      <x:c r="A48" s="10" t="str">
        <x:v>치즈피자</x:v>
      </x:c>
      <x:c r="B48" s="12"/>
      <x:c r="C48" s="12"/>
      <x:c r="D48" s="12"/>
      <x:c r="E48" s="2"/>
      <x:c r="F48" s="2"/>
      <x:c r="G48" s="10" t="str">
        <x:v>매장</x:v>
      </x:c>
      <x:c r="H48" s="12"/>
      <x:c r="I48" s="12"/>
      <x:c r="J48" s="12"/>
      <x:c r="K48" s="2"/>
      <x:c r="L48" s="2"/>
      <x:c r="M48" s="2"/>
    </x:row>
    <x:row r="49" ht="26" customHeight="1">
      <x:c r="A49" s="10" t="str">
        <x:v>페퍼로니피자</x:v>
      </x:c>
      <x:c r="B49" s="12"/>
      <x:c r="C49" s="12"/>
      <x:c r="D49" s="12"/>
      <x:c r="E49" s="2"/>
      <x:c r="F49" s="2"/>
      <x:c r="G49" s="10" t="str">
        <x:v>포장</x:v>
      </x:c>
      <x:c r="H49" s="12"/>
      <x:c r="I49" s="12"/>
      <x:c r="J49" s="12"/>
      <x:c r="K49" s="2"/>
      <x:c r="L49" s="2"/>
      <x:c r="M49" s="2"/>
    </x:row>
    <x:row r="50" ht="26" customHeight="1">
      <x:c r="A50" s="10" t="str">
        <x:v>불고기피자</x:v>
      </x:c>
      <x:c r="B50" s="12"/>
      <x:c r="C50" s="12"/>
      <x:c r="D50" s="12"/>
      <x:c r="E50" s="2"/>
      <x:c r="F50" s="2"/>
      <x:c r="G50" s="10" t="str">
        <x:v>배달앱</x:v>
      </x:c>
      <x:c r="H50" s="12"/>
      <x:c r="I50" s="12"/>
      <x:c r="J50" s="12"/>
      <x:c r="K50" s="2"/>
      <x:c r="L50" s="2"/>
      <x:c r="M50" s="2"/>
    </x:row>
    <x:row r="51" ht="26" customHeight="1">
      <x:c r="A51" s="10" t="str">
        <x:v>고구마피자</x:v>
      </x:c>
      <x:c r="B51" s="12"/>
      <x:c r="C51" s="12"/>
      <x:c r="D51" s="1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6" customHeight="1">
      <x:c r="A52" s="10" t="str">
        <x:v>콤비네이션피자</x:v>
      </x:c>
      <x:c r="B52" s="12"/>
      <x:c r="C52" s="12"/>
      <x:c r="D52" s="1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6" customHeight="1">
      <x:c r="A55" s="16" t="str">
        <x:v>실습 순서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6" customHeight="1">
      <x:c r="A56" s="2" t="str">
        <x:v>1. A7:G21, J7:L21에 주문자료 15건을 따라 입력하세요. 주문시간은 11:30처럼 입력합니다.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6" customHeight="1">
      <x:c r="A57" s="2" t="str">
        <x:v>2. H열은 수량 × 판매단가, I열은 수량 × 재료단가를 계산하세요.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6" customHeight="1">
      <x:c r="A58" s="2" t="str">
        <x:v>3. M열은 매출액에서 재료비·수수료·배달부담·할인액을 빼세요. 첫 수식을 21행까지 복사하세요.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6" customHeight="1">
      <x:c r="A59" s="2" t="str">
        <x:v>4. 28행의 E·H·I·J·K·L·M열 합계를 구하세요. 26행까지 포함합니다.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6" customHeight="1">
      <x:c r="A60" s="2" t="str">
        <x:v>5. B41에 120000, B42에 40000을 입력하고 하루 마감의 연두 칸을 계산하세요.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6" customHeight="1">
      <x:c r="A61" s="2" t="str">
        <x:v>6. 메뉴 5개와 판매방식 3개를 입력하고 판매수량·건수·매출액·주문잔액을 구하세요.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6" customHeight="1">
      <x:c r="A62" s="2" t="str">
        <x:v>7. 주문잔액을 작은 순서로 정렬해서 손해 난 주문을 찾고, 할인액을 줄여 변화를 확인하세요.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6" customHeight="1">
      <x:c r="A63" s="2" t="str">
        <x:v>8. P004·P008 주문을 비교하세요. 같은 피자 1판인데 배달앱과 매장의 주문잔액은 왜 다를까요?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6" customHeight="1">
      <x:c r="A64" s="2" t="str">
        <x:v>9. 선택: 22~26행에 기존 메뉴의 주문을 추가하고 H·I·M열 수식을 복사하세요.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6" customHeight="1">
      <x:c r="A65" s="2" t="str">
        <x:v>10. 선택: 오늘 인건비를 150000으로 바꾸면 하루 예상잔액이 얼마나 줄어드는지 확인하세요.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D3D2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22" hidden="0" customWidth="1"/>
    <x:col min="5" max="5" width="8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" t="str">
        <x:v>피자가게 하루 장사 · 직접 실습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 t="str">
        <x:v>노란 칸: 따라 입력 / 연두 칸: 수식 작성 / 22~26행: 나만의 주문 추가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2" t="str">
        <x:v>한 행은 같은 메뉴 한 종류를 주문한 1건입니다. 금액 단위는 원입니다.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6" t="str">
        <x:v>주문시간</x:v>
      </x:c>
      <x:c r="B6" s="6" t="str">
        <x:v>주문번호</x:v>
      </x:c>
      <x:c r="C6" s="6" t="str">
        <x:v>판매방식</x:v>
      </x:c>
      <x:c r="D6" s="6" t="str">
        <x:v>메뉴</x:v>
      </x:c>
      <x:c r="E6" s="6" t="str">
        <x:v>수량</x:v>
      </x:c>
      <x:c r="F6" s="6" t="str">
        <x:v>판매단가</x:v>
      </x:c>
      <x:c r="G6" s="6" t="str">
        <x:v>재료단가</x:v>
      </x:c>
      <x:c r="H6" s="6" t="str">
        <x:v>매출액</x:v>
      </x:c>
      <x:c r="I6" s="6" t="str">
        <x:v>재료비</x:v>
      </x:c>
      <x:c r="J6" s="6" t="str">
        <x:v>수수료</x:v>
      </x:c>
      <x:c r="K6" s="6" t="str">
        <x:v>배달부담</x:v>
      </x:c>
      <x:c r="L6" s="6" t="str">
        <x:v>할인액</x:v>
      </x:c>
      <x:c r="M6" s="6" t="str">
        <x:v>주문잔액</x:v>
      </x:c>
    </x:row>
    <x:row r="7" ht="28" customHeight="1">
      <x:c r="A7" s="22"/>
      <x:c r="B7" s="23"/>
      <x:c r="C7" s="23"/>
      <x:c r="D7" s="23"/>
      <x:c r="E7" s="24"/>
      <x:c r="F7" s="24"/>
      <x:c r="G7" s="24"/>
      <x:c r="H7" s="18"/>
      <x:c r="I7" s="18"/>
      <x:c r="J7" s="24"/>
      <x:c r="K7" s="24"/>
      <x:c r="L7" s="24"/>
      <x:c r="M7" s="18"/>
    </x:row>
    <x:row r="8" ht="28" customHeight="1">
      <x:c r="A8" s="22"/>
      <x:c r="B8" s="23"/>
      <x:c r="C8" s="23"/>
      <x:c r="D8" s="23"/>
      <x:c r="E8" s="24"/>
      <x:c r="F8" s="24"/>
      <x:c r="G8" s="24"/>
      <x:c r="H8" s="18"/>
      <x:c r="I8" s="18"/>
      <x:c r="J8" s="24"/>
      <x:c r="K8" s="24"/>
      <x:c r="L8" s="24"/>
      <x:c r="M8" s="18"/>
    </x:row>
    <x:row r="9" ht="28" customHeight="1">
      <x:c r="A9" s="22"/>
      <x:c r="B9" s="23"/>
      <x:c r="C9" s="23"/>
      <x:c r="D9" s="23"/>
      <x:c r="E9" s="24"/>
      <x:c r="F9" s="24"/>
      <x:c r="G9" s="24"/>
      <x:c r="H9" s="18"/>
      <x:c r="I9" s="18"/>
      <x:c r="J9" s="24"/>
      <x:c r="K9" s="24"/>
      <x:c r="L9" s="24"/>
      <x:c r="M9" s="18"/>
    </x:row>
    <x:row r="10" ht="28" customHeight="1">
      <x:c r="A10" s="22"/>
      <x:c r="B10" s="23"/>
      <x:c r="C10" s="23"/>
      <x:c r="D10" s="23"/>
      <x:c r="E10" s="24"/>
      <x:c r="F10" s="24"/>
      <x:c r="G10" s="24"/>
      <x:c r="H10" s="18"/>
      <x:c r="I10" s="18"/>
      <x:c r="J10" s="24"/>
      <x:c r="K10" s="24"/>
      <x:c r="L10" s="24"/>
      <x:c r="M10" s="18"/>
    </x:row>
    <x:row r="11" ht="28" customHeight="1">
      <x:c r="A11" s="22"/>
      <x:c r="B11" s="23"/>
      <x:c r="C11" s="23"/>
      <x:c r="D11" s="23"/>
      <x:c r="E11" s="24"/>
      <x:c r="F11" s="24"/>
      <x:c r="G11" s="24"/>
      <x:c r="H11" s="18"/>
      <x:c r="I11" s="18"/>
      <x:c r="J11" s="24"/>
      <x:c r="K11" s="24"/>
      <x:c r="L11" s="24"/>
      <x:c r="M11" s="18"/>
    </x:row>
    <x:row r="12" ht="28" customHeight="1">
      <x:c r="A12" s="22"/>
      <x:c r="B12" s="23"/>
      <x:c r="C12" s="23"/>
      <x:c r="D12" s="23"/>
      <x:c r="E12" s="24"/>
      <x:c r="F12" s="24"/>
      <x:c r="G12" s="24"/>
      <x:c r="H12" s="18"/>
      <x:c r="I12" s="18"/>
      <x:c r="J12" s="24"/>
      <x:c r="K12" s="24"/>
      <x:c r="L12" s="24"/>
      <x:c r="M12" s="18"/>
    </x:row>
    <x:row r="13" ht="28" customHeight="1">
      <x:c r="A13" s="22"/>
      <x:c r="B13" s="23"/>
      <x:c r="C13" s="23"/>
      <x:c r="D13" s="23"/>
      <x:c r="E13" s="24"/>
      <x:c r="F13" s="24"/>
      <x:c r="G13" s="24"/>
      <x:c r="H13" s="18"/>
      <x:c r="I13" s="18"/>
      <x:c r="J13" s="24"/>
      <x:c r="K13" s="24"/>
      <x:c r="L13" s="24"/>
      <x:c r="M13" s="18"/>
    </x:row>
    <x:row r="14" ht="28" customHeight="1">
      <x:c r="A14" s="22"/>
      <x:c r="B14" s="23"/>
      <x:c r="C14" s="23"/>
      <x:c r="D14" s="23"/>
      <x:c r="E14" s="24"/>
      <x:c r="F14" s="24"/>
      <x:c r="G14" s="24"/>
      <x:c r="H14" s="18"/>
      <x:c r="I14" s="18"/>
      <x:c r="J14" s="24"/>
      <x:c r="K14" s="24"/>
      <x:c r="L14" s="24"/>
      <x:c r="M14" s="18"/>
    </x:row>
    <x:row r="15" ht="28" customHeight="1">
      <x:c r="A15" s="22"/>
      <x:c r="B15" s="23"/>
      <x:c r="C15" s="23"/>
      <x:c r="D15" s="23"/>
      <x:c r="E15" s="24"/>
      <x:c r="F15" s="24"/>
      <x:c r="G15" s="24"/>
      <x:c r="H15" s="18"/>
      <x:c r="I15" s="18"/>
      <x:c r="J15" s="24"/>
      <x:c r="K15" s="24"/>
      <x:c r="L15" s="24"/>
      <x:c r="M15" s="18"/>
    </x:row>
    <x:row r="16" ht="28" customHeight="1">
      <x:c r="A16" s="22"/>
      <x:c r="B16" s="23"/>
      <x:c r="C16" s="23"/>
      <x:c r="D16" s="23"/>
      <x:c r="E16" s="24"/>
      <x:c r="F16" s="24"/>
      <x:c r="G16" s="24"/>
      <x:c r="H16" s="18"/>
      <x:c r="I16" s="18"/>
      <x:c r="J16" s="24"/>
      <x:c r="K16" s="24"/>
      <x:c r="L16" s="24"/>
      <x:c r="M16" s="18"/>
    </x:row>
    <x:row r="17" ht="28" customHeight="1">
      <x:c r="A17" s="22"/>
      <x:c r="B17" s="23"/>
      <x:c r="C17" s="23"/>
      <x:c r="D17" s="23"/>
      <x:c r="E17" s="24"/>
      <x:c r="F17" s="24"/>
      <x:c r="G17" s="24"/>
      <x:c r="H17" s="18"/>
      <x:c r="I17" s="18"/>
      <x:c r="J17" s="24"/>
      <x:c r="K17" s="24"/>
      <x:c r="L17" s="24"/>
      <x:c r="M17" s="18"/>
    </x:row>
    <x:row r="18" ht="28" customHeight="1">
      <x:c r="A18" s="22"/>
      <x:c r="B18" s="23"/>
      <x:c r="C18" s="23"/>
      <x:c r="D18" s="23"/>
      <x:c r="E18" s="24"/>
      <x:c r="F18" s="24"/>
      <x:c r="G18" s="24"/>
      <x:c r="H18" s="18"/>
      <x:c r="I18" s="18"/>
      <x:c r="J18" s="24"/>
      <x:c r="K18" s="24"/>
      <x:c r="L18" s="24"/>
      <x:c r="M18" s="18"/>
    </x:row>
    <x:row r="19" ht="28" customHeight="1">
      <x:c r="A19" s="22"/>
      <x:c r="B19" s="23"/>
      <x:c r="C19" s="23"/>
      <x:c r="D19" s="23"/>
      <x:c r="E19" s="24"/>
      <x:c r="F19" s="24"/>
      <x:c r="G19" s="24"/>
      <x:c r="H19" s="18"/>
      <x:c r="I19" s="18"/>
      <x:c r="J19" s="24"/>
      <x:c r="K19" s="24"/>
      <x:c r="L19" s="24"/>
      <x:c r="M19" s="18"/>
    </x:row>
    <x:row r="20" ht="28" customHeight="1">
      <x:c r="A20" s="22"/>
      <x:c r="B20" s="23"/>
      <x:c r="C20" s="23"/>
      <x:c r="D20" s="23"/>
      <x:c r="E20" s="24"/>
      <x:c r="F20" s="24"/>
      <x:c r="G20" s="24"/>
      <x:c r="H20" s="18"/>
      <x:c r="I20" s="18"/>
      <x:c r="J20" s="24"/>
      <x:c r="K20" s="24"/>
      <x:c r="L20" s="24"/>
      <x:c r="M20" s="18"/>
    </x:row>
    <x:row r="21" ht="28" customHeight="1">
      <x:c r="A21" s="22"/>
      <x:c r="B21" s="23"/>
      <x:c r="C21" s="23"/>
      <x:c r="D21" s="23"/>
      <x:c r="E21" s="24"/>
      <x:c r="F21" s="24"/>
      <x:c r="G21" s="24"/>
      <x:c r="H21" s="18"/>
      <x:c r="I21" s="18"/>
      <x:c r="J21" s="24"/>
      <x:c r="K21" s="24"/>
      <x:c r="L21" s="24"/>
      <x:c r="M21" s="18"/>
    </x:row>
    <x:row r="22" ht="28" customHeight="1">
      <x:c r="A22" s="22"/>
      <x:c r="B22" s="23"/>
      <x:c r="C22" s="23"/>
      <x:c r="D22" s="23"/>
      <x:c r="E22" s="24"/>
      <x:c r="F22" s="24"/>
      <x:c r="G22" s="24"/>
      <x:c r="H22" s="18"/>
      <x:c r="I22" s="18"/>
      <x:c r="J22" s="24"/>
      <x:c r="K22" s="24"/>
      <x:c r="L22" s="24"/>
      <x:c r="M22" s="18"/>
    </x:row>
    <x:row r="23" ht="28" customHeight="1">
      <x:c r="A23" s="22"/>
      <x:c r="B23" s="23"/>
      <x:c r="C23" s="23"/>
      <x:c r="D23" s="23"/>
      <x:c r="E23" s="24"/>
      <x:c r="F23" s="24"/>
      <x:c r="G23" s="24"/>
      <x:c r="H23" s="18"/>
      <x:c r="I23" s="18"/>
      <x:c r="J23" s="24"/>
      <x:c r="K23" s="24"/>
      <x:c r="L23" s="24"/>
      <x:c r="M23" s="18"/>
    </x:row>
    <x:row r="24" ht="28" customHeight="1">
      <x:c r="A24" s="22"/>
      <x:c r="B24" s="23"/>
      <x:c r="C24" s="23"/>
      <x:c r="D24" s="23"/>
      <x:c r="E24" s="24"/>
      <x:c r="F24" s="24"/>
      <x:c r="G24" s="24"/>
      <x:c r="H24" s="18"/>
      <x:c r="I24" s="18"/>
      <x:c r="J24" s="24"/>
      <x:c r="K24" s="24"/>
      <x:c r="L24" s="24"/>
      <x:c r="M24" s="18"/>
    </x:row>
    <x:row r="25" ht="28" customHeight="1">
      <x:c r="A25" s="22"/>
      <x:c r="B25" s="23"/>
      <x:c r="C25" s="23"/>
      <x:c r="D25" s="23"/>
      <x:c r="E25" s="24"/>
      <x:c r="F25" s="24"/>
      <x:c r="G25" s="24"/>
      <x:c r="H25" s="18"/>
      <x:c r="I25" s="18"/>
      <x:c r="J25" s="24"/>
      <x:c r="K25" s="24"/>
      <x:c r="L25" s="24"/>
      <x:c r="M25" s="18"/>
    </x:row>
    <x:row r="26" ht="28" customHeight="1">
      <x:c r="A26" s="22"/>
      <x:c r="B26" s="23"/>
      <x:c r="C26" s="23"/>
      <x:c r="D26" s="23"/>
      <x:c r="E26" s="24"/>
      <x:c r="F26" s="24"/>
      <x:c r="G26" s="24"/>
      <x:c r="H26" s="18"/>
      <x:c r="I26" s="18"/>
      <x:c r="J26" s="24"/>
      <x:c r="K26" s="24"/>
      <x:c r="L26" s="24"/>
      <x:c r="M26" s="18"/>
    </x:row>
    <x:row r="27" ht="26" customHeight="1">
      <x:c r="A27" s="2"/>
      <x:c r="B27" s="2"/>
      <x:c r="C27" s="2"/>
      <x:c r="D27" s="2"/>
      <x:c r="E27" s="8"/>
      <x:c r="F27" s="8"/>
      <x:c r="G27" s="8"/>
      <x:c r="H27" s="8"/>
      <x:c r="I27" s="8"/>
      <x:c r="J27" s="8"/>
      <x:c r="K27" s="8"/>
      <x:c r="L27" s="8"/>
      <x:c r="M27" s="8"/>
    </x:row>
    <x:row r="28" ht="26" customHeight="1">
      <x:c r="A28" s="14" t="str">
        <x:v>주문 합계</x:v>
      </x:c>
      <x:c r="B28" s="14"/>
      <x:c r="C28" s="14"/>
      <x:c r="D28" s="14"/>
      <x:c r="E28" s="20"/>
      <x:c r="F28" s="15"/>
      <x:c r="G28" s="15"/>
      <x:c r="H28" s="20"/>
      <x:c r="I28" s="20"/>
      <x:c r="J28" s="20"/>
      <x:c r="K28" s="20"/>
      <x:c r="L28" s="20"/>
      <x:c r="M28" s="20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6" customHeight="1">
      <x:c r="A31" s="16" t="str">
        <x:v>하루 마감 · 오늘 얼마가 남았을까?</x:v>
      </x:c>
      <x:c r="B31" s="2"/>
      <x:c r="C31" s="2"/>
      <x:c r="D31" s="2"/>
      <x:c r="E31" s="2"/>
      <x:c r="F31" s="2"/>
      <x:c r="G31" s="16" t="str">
        <x:v>실습에서 사용하는 기준</x:v>
      </x:c>
      <x:c r="H31" s="2"/>
      <x:c r="I31" s="2"/>
      <x:c r="J31" s="2"/>
      <x:c r="K31" s="2"/>
      <x:c r="L31" s="2"/>
      <x:c r="M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32" customHeight="1">
      <x:c r="A33" s="6" t="str">
        <x:v>마감 항목</x:v>
      </x:c>
      <x:c r="B33" s="6" t="str">
        <x:v>금액</x:v>
      </x:c>
      <x:c r="C33" s="6" t="str">
        <x:v>계산 방법</x:v>
      </x:c>
      <x:c r="D33" s="2"/>
      <x:c r="E33" s="2"/>
      <x:c r="F33" s="2"/>
      <x:c r="G33" s="2" t="str">
        <x:v>수수료는 제시한 가상 금액을 입력합니다.</x:v>
      </x:c>
      <x:c r="H33" s="2"/>
      <x:c r="I33" s="2"/>
      <x:c r="J33" s="2"/>
      <x:c r="K33" s="2"/>
      <x:c r="L33" s="2"/>
      <x:c r="M33" s="2"/>
    </x:row>
    <x:row r="34" ht="26" customHeight="1">
      <x:c r="A34" s="2" t="str">
        <x:v>할인 전 매출</x:v>
      </x:c>
      <x:c r="B34" s="18"/>
      <x:c r="C34" s="21" t="str">
        <x:v>주문 매출액 합계</x:v>
      </x:c>
      <x:c r="D34" s="2"/>
      <x:c r="E34" s="2"/>
      <x:c r="F34" s="2"/>
      <x:c r="G34" s="2" t="str">
        <x:v>배달부담은 고객 부담분을 뺀 가게 부담액입니다.</x:v>
      </x:c>
      <x:c r="H34" s="2"/>
      <x:c r="I34" s="2"/>
      <x:c r="J34" s="2"/>
      <x:c r="K34" s="2"/>
      <x:c r="L34" s="2"/>
      <x:c r="M34" s="2"/>
    </x:row>
    <x:row r="35" ht="26" customHeight="1">
      <x:c r="A35" s="2" t="str">
        <x:v>할인 합계</x:v>
      </x:c>
      <x:c r="B35" s="18"/>
      <x:c r="C35" s="21" t="str">
        <x:v>가게가 부담한 할인액 합계</x:v>
      </x:c>
      <x:c r="D35" s="2"/>
      <x:c r="E35" s="2"/>
      <x:c r="F35" s="2"/>
      <x:c r="G35" s="2" t="str">
        <x:v>할인액은 가게가 부담한 주문 전체 할인액입니다.</x:v>
      </x:c>
      <x:c r="H35" s="2"/>
      <x:c r="I35" s="2"/>
      <x:c r="J35" s="2"/>
      <x:c r="K35" s="2"/>
      <x:c r="L35" s="2"/>
      <x:c r="M35" s="2"/>
    </x:row>
    <x:row r="36" ht="26" customHeight="1">
      <x:c r="A36" s="2" t="str">
        <x:v>할인 후 매출</x:v>
      </x:c>
      <x:c r="B36" s="18"/>
      <x:c r="C36" s="21" t="str">
        <x:v>할인 전 매출 - 할인 합계</x:v>
      </x:c>
      <x:c r="D36" s="2"/>
      <x:c r="E36" s="2"/>
      <x:c r="F36" s="2"/>
      <x:c r="G36" s="2" t="str">
        <x:v>재료단가는 피자 1판의 재료·포장 원가입니다.</x:v>
      </x:c>
      <x:c r="H36" s="2"/>
      <x:c r="I36" s="2"/>
      <x:c r="J36" s="2"/>
      <x:c r="K36" s="2"/>
      <x:c r="L36" s="2"/>
      <x:c r="M36" s="2"/>
    </x:row>
    <x:row r="37" ht="26" customHeight="1">
      <x:c r="A37" s="2" t="str">
        <x:v>재료비 합계</x:v>
      </x:c>
      <x:c r="B37" s="18"/>
      <x:c r="C37" s="21" t="str">
        <x:v>재료비 열 합계</x:v>
      </x:c>
      <x:c r="D37" s="2"/>
      <x:c r="E37" s="2"/>
      <x:c r="F37" s="2"/>
      <x:c r="G37" s="2" t="str">
        <x:v>주문잔액 = 매출액 - 재료비 - 수수료</x:v>
      </x:c>
      <x:c r="H37" s="2"/>
      <x:c r="I37" s="2"/>
      <x:c r="J37" s="2"/>
      <x:c r="K37" s="2"/>
      <x:c r="L37" s="2"/>
      <x:c r="M37" s="2"/>
    </x:row>
    <x:row r="38" ht="26" customHeight="1">
      <x:c r="A38" s="2" t="str">
        <x:v>수수료 합계</x:v>
      </x:c>
      <x:c r="B38" s="18"/>
      <x:c r="C38" s="21" t="str">
        <x:v>수수료 열 합계</x:v>
      </x:c>
      <x:c r="D38" s="2"/>
      <x:c r="E38" s="2"/>
      <x:c r="F38" s="2"/>
      <x:c r="G38" s="2" t="str">
        <x:v>                  - 배달부담 - 할인액</x:v>
      </x:c>
      <x:c r="H38" s="2"/>
      <x:c r="I38" s="2"/>
      <x:c r="J38" s="2"/>
      <x:c r="K38" s="2"/>
      <x:c r="L38" s="2"/>
      <x:c r="M38" s="2"/>
    </x:row>
    <x:row r="39" ht="26" customHeight="1">
      <x:c r="A39" s="2" t="str">
        <x:v>배달부담 합계</x:v>
      </x:c>
      <x:c r="B39" s="18"/>
      <x:c r="C39" s="21" t="str">
        <x:v>배달부담 열 합계</x:v>
      </x:c>
      <x:c r="D39" s="2"/>
      <x:c r="E39" s="2"/>
      <x:c r="F39" s="2"/>
      <x:c r="G39" s="2" t="str">
        <x:v>임대료·공과금은 기타 하루 비용에 한 번만 넣습니다.</x:v>
      </x:c>
      <x:c r="H39" s="2"/>
      <x:c r="I39" s="2"/>
      <x:c r="J39" s="2"/>
      <x:c r="K39" s="2"/>
      <x:c r="L39" s="2"/>
      <x:c r="M39" s="2"/>
    </x:row>
    <x:row r="40" ht="26" customHeight="1">
      <x:c r="A40" s="2" t="str">
        <x:v>주문잔액 합계</x:v>
      </x:c>
      <x:c r="B40" s="18"/>
      <x:c r="C40" s="21" t="str">
        <x:v>주문잔액 열 합계</x:v>
      </x:c>
      <x:c r="D40" s="2"/>
      <x:c r="E40" s="2"/>
      <x:c r="F40" s="2"/>
      <x:c r="G40" s="2" t="str">
        <x:v>사장 본인 인건비·세금은 별도로 반영하지 않았습니다.</x:v>
      </x:c>
      <x:c r="H40" s="2"/>
      <x:c r="I40" s="2"/>
      <x:c r="J40" s="2"/>
      <x:c r="K40" s="2"/>
      <x:c r="L40" s="2"/>
      <x:c r="M40" s="2"/>
    </x:row>
    <x:row r="41" ht="26" customHeight="1">
      <x:c r="A41" s="2" t="str">
        <x:v>오늘 인건비</x:v>
      </x:c>
      <x:c r="B41" s="24"/>
      <x:c r="C41" s="21" t="str">
        <x:v>아르바이트 등 당일 인건비</x:v>
      </x:c>
      <x:c r="D41" s="2"/>
      <x:c r="E41" s="2"/>
      <x:c r="F41" s="2"/>
      <x:c r="G41" s="2" t="str">
        <x:v>실제 앱의 요율·정산 구조를 재현한 자료는 아닙니다.</x:v>
      </x:c>
      <x:c r="H41" s="2"/>
      <x:c r="I41" s="2"/>
      <x:c r="J41" s="2"/>
      <x:c r="K41" s="2"/>
      <x:c r="L41" s="2"/>
      <x:c r="M41" s="2"/>
    </x:row>
    <x:row r="42" ht="26" customHeight="1">
      <x:c r="A42" s="2" t="str">
        <x:v>기타 하루 비용</x:v>
      </x:c>
      <x:c r="B42" s="24"/>
      <x:c r="C42" s="21" t="str">
        <x:v>임대료·공과금 등 하루 배분액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6" customHeight="1">
      <x:c r="A43" s="19" t="str">
        <x:v>하루 예상잔액</x:v>
      </x:c>
      <x:c r="B43" s="20"/>
      <x:c r="C43" s="21" t="str">
        <x:v>주문잔액 합계 - 인건비 - 기타 하루 비용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6" customHeight="1">
      <x:c r="A46" s="16" t="str">
        <x:v>어떤 메뉴가 잘 팔렸을까?</x:v>
      </x:c>
      <x:c r="B46" s="2"/>
      <x:c r="C46" s="2"/>
      <x:c r="D46" s="2"/>
      <x:c r="E46" s="2"/>
      <x:c r="F46" s="2"/>
      <x:c r="G46" s="16" t="str">
        <x:v>매장·포장·배달앱 비교</x:v>
      </x:c>
      <x:c r="H46" s="2"/>
      <x:c r="I46" s="2"/>
      <x:c r="J46" s="2"/>
      <x:c r="K46" s="2"/>
      <x:c r="L46" s="2"/>
      <x:c r="M46" s="2"/>
    </x:row>
    <x:row r="47" ht="32" customHeight="1">
      <x:c r="A47" s="6" t="str">
        <x:v>메뉴</x:v>
      </x:c>
      <x:c r="B47" s="6" t="str">
        <x:v>판매수량</x:v>
      </x:c>
      <x:c r="C47" s="6" t="str">
        <x:v>매출액</x:v>
      </x:c>
      <x:c r="D47" s="6" t="str">
        <x:v>주문잔액</x:v>
      </x:c>
      <x:c r="E47" s="2"/>
      <x:c r="F47" s="2"/>
      <x:c r="G47" s="6" t="str">
        <x:v>판매방식</x:v>
      </x:c>
      <x:c r="H47" s="6" t="str">
        <x:v>주문건수</x:v>
      </x:c>
      <x:c r="I47" s="6" t="str">
        <x:v>매출액</x:v>
      </x:c>
      <x:c r="J47" s="6" t="str">
        <x:v>주문잔액</x:v>
      </x:c>
      <x:c r="K47" s="2"/>
      <x:c r="L47" s="2"/>
      <x:c r="M47" s="2"/>
    </x:row>
    <x:row r="48" ht="26" customHeight="1">
      <x:c r="A48" s="23"/>
      <x:c r="B48" s="18"/>
      <x:c r="C48" s="18"/>
      <x:c r="D48" s="18"/>
      <x:c r="E48" s="2"/>
      <x:c r="F48" s="2"/>
      <x:c r="G48" s="23"/>
      <x:c r="H48" s="18"/>
      <x:c r="I48" s="18"/>
      <x:c r="J48" s="18"/>
      <x:c r="K48" s="2"/>
      <x:c r="L48" s="2"/>
      <x:c r="M48" s="2"/>
    </x:row>
    <x:row r="49" ht="26" customHeight="1">
      <x:c r="A49" s="23"/>
      <x:c r="B49" s="18"/>
      <x:c r="C49" s="18"/>
      <x:c r="D49" s="18"/>
      <x:c r="E49" s="2"/>
      <x:c r="F49" s="2"/>
      <x:c r="G49" s="23"/>
      <x:c r="H49" s="18"/>
      <x:c r="I49" s="18"/>
      <x:c r="J49" s="18"/>
      <x:c r="K49" s="2"/>
      <x:c r="L49" s="2"/>
      <x:c r="M49" s="2"/>
    </x:row>
    <x:row r="50" ht="26" customHeight="1">
      <x:c r="A50" s="23"/>
      <x:c r="B50" s="18"/>
      <x:c r="C50" s="18"/>
      <x:c r="D50" s="18"/>
      <x:c r="E50" s="2"/>
      <x:c r="F50" s="2"/>
      <x:c r="G50" s="23"/>
      <x:c r="H50" s="18"/>
      <x:c r="I50" s="18"/>
      <x:c r="J50" s="18"/>
      <x:c r="K50" s="2"/>
      <x:c r="L50" s="2"/>
      <x:c r="M50" s="2"/>
    </x:row>
    <x:row r="51" ht="26" customHeight="1">
      <x:c r="A51" s="23"/>
      <x:c r="B51" s="18"/>
      <x:c r="C51" s="18"/>
      <x:c r="D51" s="18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6" customHeight="1">
      <x:c r="A52" s="23"/>
      <x:c r="B52" s="18"/>
      <x:c r="C52" s="18"/>
      <x:c r="D52" s="18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6" customHeight="1">
      <x:c r="A55" s="16" t="str">
        <x:v>실습 순서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6" customHeight="1">
      <x:c r="A56" s="2" t="str">
        <x:v>1. A7:G21, J7:L21에 주문자료 15건을 따라 입력하세요. 주문시간은 11:30처럼 입력합니다.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6" customHeight="1">
      <x:c r="A57" s="2" t="str">
        <x:v>2. H열은 수량 × 판매단가, I열은 수량 × 재료단가를 계산하세요.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6" customHeight="1">
      <x:c r="A58" s="2" t="str">
        <x:v>3. M열은 매출액에서 재료비·수수료·배달부담·할인액을 빼세요. 첫 수식을 21행까지 복사하세요.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6" customHeight="1">
      <x:c r="A59" s="2" t="str">
        <x:v>4. 28행의 E·H·I·J·K·L·M열 합계를 구하세요. 26행까지 포함합니다.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6" customHeight="1">
      <x:c r="A60" s="2" t="str">
        <x:v>5. B41에 120000, B42에 40000을 입력하고 하루 마감의 연두 칸을 계산하세요.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6" customHeight="1">
      <x:c r="A61" s="2" t="str">
        <x:v>6. 메뉴 5개와 판매방식 3개를 입력하고 판매수량·건수·매출액·주문잔액을 구하세요.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6" customHeight="1">
      <x:c r="A62" s="2" t="str">
        <x:v>7. 주문잔액을 작은 순서로 정렬해서 손해 난 주문을 찾고, 할인액을 줄여 변화를 확인하세요.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6" customHeight="1">
      <x:c r="A63" s="2" t="str">
        <x:v>8. P004·P008 주문을 비교하세요. 같은 피자 1판인데 배달앱과 매장의 주문잔액은 왜 다를까요?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6" customHeight="1">
      <x:c r="A64" s="2" t="str">
        <x:v>9. 선택: 22~26행에 기존 메뉴의 주문을 추가하고 H·I·M열 수식을 복사하세요.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6" customHeight="1">
      <x:c r="A65" s="2" t="str">
        <x:v>10. 선택: 오늘 인건비를 150000으로 바꾸면 하루 예상잔액이 얼마나 줄어드는지 확인하세요.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</x:sheetData>
  <x:conditionalFormatting sqref="M7:M26">
    <x:cfRule type="cellIs" dxfId="0" priority="1" operator="lessThan">
      <x:formula>0</x:formula>
    </x:cfRule>
  </x:conditionalFormatting>
  <x:dataValidations count="1">
    <x:dataValidation type="list" sqref="C7:C26">
      <x:formula1>"매장,포장,배달앱"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bc79c673674433"/>
  </x:tableParts>
</x:worksheet>
</file>

<file path=xl/worksheets/sheet3.xml><?xml version="1.0" encoding="utf-8"?>
<x:worksheet xmlns:x="http://schemas.openxmlformats.org/spreadsheetml/2006/main">
  <x:sheetPr>
    <x:tabColor rgb="FF8D3D2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22" hidden="0" customWidth="1"/>
    <x:col min="5" max="5" width="8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" t="str">
        <x:v>피자가게 하루 장사 · 정답 확인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 t="str">
        <x:v>기본 주문 15건의 정답. 주문을 추가하거나 금액을 바꾸면 결과가 달라집니다.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2" t="str">
        <x:v>한 행은 같은 메뉴 한 종류를 주문한 1건입니다. 금액 단위는 원입니다.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6" t="str">
        <x:v>주문시간</x:v>
      </x:c>
      <x:c r="B6" s="6" t="str">
        <x:v>주문번호</x:v>
      </x:c>
      <x:c r="C6" s="6" t="str">
        <x:v>판매방식</x:v>
      </x:c>
      <x:c r="D6" s="6" t="str">
        <x:v>메뉴</x:v>
      </x:c>
      <x:c r="E6" s="6" t="str">
        <x:v>수량</x:v>
      </x:c>
      <x:c r="F6" s="6" t="str">
        <x:v>판매단가</x:v>
      </x:c>
      <x:c r="G6" s="6" t="str">
        <x:v>재료단가</x:v>
      </x:c>
      <x:c r="H6" s="6" t="str">
        <x:v>매출액</x:v>
      </x:c>
      <x:c r="I6" s="6" t="str">
        <x:v>재료비</x:v>
      </x:c>
      <x:c r="J6" s="6" t="str">
        <x:v>수수료</x:v>
      </x:c>
      <x:c r="K6" s="6" t="str">
        <x:v>배달부담</x:v>
      </x:c>
      <x:c r="L6" s="6" t="str">
        <x:v>할인액</x:v>
      </x:c>
      <x:c r="M6" s="6" t="str">
        <x:v>주문잔액</x:v>
      </x:c>
    </x:row>
    <x:row r="7" ht="28" customHeight="1">
      <x:c r="A7" s="9" t="n">
        <x:v>0.4791666666666667</x:v>
      </x:c>
      <x:c r="B7" s="10" t="str">
        <x:v>P001</x:v>
      </x:c>
      <x:c r="C7" s="10" t="str">
        <x:v>매장</x:v>
      </x:c>
      <x:c r="D7" s="10" t="str">
        <x:v>치즈피자</x:v>
      </x:c>
      <x:c r="E7" s="11" t="n">
        <x:v>1</x:v>
      </x:c>
      <x:c r="F7" s="11" t="n">
        <x:v>16000</x:v>
      </x:c>
      <x:c r="G7" s="11" t="n">
        <x:v>5500</x:v>
      </x:c>
      <x:c r="H7" s="18" t="n">
        <x:f>IF(D7="","",E7*F7)</x:f>
        <x:v>16000</x:v>
      </x:c>
      <x:c r="I7" s="18" t="n">
        <x:f>IF(D7="","",E7*G7)</x:f>
        <x:v>5500</x:v>
      </x:c>
      <x:c r="J7" s="11" t="n">
        <x:v>0</x:v>
      </x:c>
      <x:c r="K7" s="11" t="n">
        <x:v>0</x:v>
      </x:c>
      <x:c r="L7" s="11" t="n">
        <x:v>0</x:v>
      </x:c>
      <x:c r="M7" s="18" t="n">
        <x:f>IF(D7="","",H7-I7-J7-K7-L7)</x:f>
        <x:v>10500</x:v>
      </x:c>
    </x:row>
    <x:row r="8" ht="28" customHeight="1">
      <x:c r="A8" s="9" t="n">
        <x:v>0.4895833333333333</x:v>
      </x:c>
      <x:c r="B8" s="10" t="str">
        <x:v>P002</x:v>
      </x:c>
      <x:c r="C8" s="10" t="str">
        <x:v>포장</x:v>
      </x:c>
      <x:c r="D8" s="10" t="str">
        <x:v>페퍼로니피자</x:v>
      </x:c>
      <x:c r="E8" s="11" t="n">
        <x:v>2</x:v>
      </x:c>
      <x:c r="F8" s="11" t="n">
        <x:v>18000</x:v>
      </x:c>
      <x:c r="G8" s="11" t="n">
        <x:v>6500</x:v>
      </x:c>
      <x:c r="H8" s="18" t="n">
        <x:f>IF(D8="","",E8*F8)</x:f>
        <x:v>36000</x:v>
      </x:c>
      <x:c r="I8" s="18" t="n">
        <x:f>IF(D8="","",E8*G8)</x:f>
        <x:v>13000</x:v>
      </x:c>
      <x:c r="J8" s="11" t="n">
        <x:v>0</x:v>
      </x:c>
      <x:c r="K8" s="11" t="n">
        <x:v>0</x:v>
      </x:c>
      <x:c r="L8" s="11" t="n">
        <x:v>2000</x:v>
      </x:c>
      <x:c r="M8" s="18" t="n">
        <x:f>IF(D8="","",H8-I8-J8-K8-L8)</x:f>
        <x:v>21000</x:v>
      </x:c>
    </x:row>
    <x:row r="9" ht="28" customHeight="1">
      <x:c r="A9" s="9" t="n">
        <x:v>0.5</x:v>
      </x:c>
      <x:c r="B9" s="10" t="str">
        <x:v>P003</x:v>
      </x:c>
      <x:c r="C9" s="10" t="str">
        <x:v>배달앱</x:v>
      </x:c>
      <x:c r="D9" s="10" t="str">
        <x:v>불고기피자</x:v>
      </x:c>
      <x:c r="E9" s="11" t="n">
        <x:v>1</x:v>
      </x:c>
      <x:c r="F9" s="11" t="n">
        <x:v>21000</x:v>
      </x:c>
      <x:c r="G9" s="11" t="n">
        <x:v>8000</x:v>
      </x:c>
      <x:c r="H9" s="18" t="n">
        <x:f>IF(D9="","",E9*F9)</x:f>
        <x:v>21000</x:v>
      </x:c>
      <x:c r="I9" s="18" t="n">
        <x:f>IF(D9="","",E9*G9)</x:f>
        <x:v>8000</x:v>
      </x:c>
      <x:c r="J9" s="11" t="n">
        <x:v>2100</x:v>
      </x:c>
      <x:c r="K9" s="11" t="n">
        <x:v>3000</x:v>
      </x:c>
      <x:c r="L9" s="11" t="n">
        <x:v>0</x:v>
      </x:c>
      <x:c r="M9" s="18" t="n">
        <x:f>IF(D9="","",H9-I9-J9-K9-L9)</x:f>
        <x:v>7900</x:v>
      </x:c>
    </x:row>
    <x:row r="10" ht="28" customHeight="1">
      <x:c r="A10" s="9" t="n">
        <x:v>0.5138888888888888</x:v>
      </x:c>
      <x:c r="B10" s="10" t="str">
        <x:v>P004</x:v>
      </x:c>
      <x:c r="C10" s="10" t="str">
        <x:v>배달앱</x:v>
      </x:c>
      <x:c r="D10" s="10" t="str">
        <x:v>페퍼로니피자</x:v>
      </x:c>
      <x:c r="E10" s="11" t="n">
        <x:v>1</x:v>
      </x:c>
      <x:c r="F10" s="11" t="n">
        <x:v>18000</x:v>
      </x:c>
      <x:c r="G10" s="11" t="n">
        <x:v>6500</x:v>
      </x:c>
      <x:c r="H10" s="18" t="n">
        <x:f>IF(D10="","",E10*F10)</x:f>
        <x:v>18000</x:v>
      </x:c>
      <x:c r="I10" s="18" t="n">
        <x:f>IF(D10="","",E10*G10)</x:f>
        <x:v>6500</x:v>
      </x:c>
      <x:c r="J10" s="11" t="n">
        <x:v>1800</x:v>
      </x:c>
      <x:c r="K10" s="11" t="n">
        <x:v>3000</x:v>
      </x:c>
      <x:c r="L10" s="11" t="n">
        <x:v>0</x:v>
      </x:c>
      <x:c r="M10" s="18" t="n">
        <x:f>IF(D10="","",H10-I10-J10-K10-L10)</x:f>
        <x:v>6700</x:v>
      </x:c>
    </x:row>
    <x:row r="11" ht="28" customHeight="1">
      <x:c r="A11" s="9" t="n">
        <x:v>0.5277777777777778</x:v>
      </x:c>
      <x:c r="B11" s="10" t="str">
        <x:v>P005</x:v>
      </x:c>
      <x:c r="C11" s="10" t="str">
        <x:v>매장</x:v>
      </x:c>
      <x:c r="D11" s="10" t="str">
        <x:v>고구마피자</x:v>
      </x:c>
      <x:c r="E11" s="11" t="n">
        <x:v>2</x:v>
      </x:c>
      <x:c r="F11" s="11" t="n">
        <x:v>20000</x:v>
      </x:c>
      <x:c r="G11" s="11" t="n">
        <x:v>7500</x:v>
      </x:c>
      <x:c r="H11" s="18" t="n">
        <x:f>IF(D11="","",E11*F11)</x:f>
        <x:v>40000</x:v>
      </x:c>
      <x:c r="I11" s="18" t="n">
        <x:f>IF(D11="","",E11*G11)</x:f>
        <x:v>15000</x:v>
      </x:c>
      <x:c r="J11" s="11" t="n">
        <x:v>0</x:v>
      </x:c>
      <x:c r="K11" s="11" t="n">
        <x:v>0</x:v>
      </x:c>
      <x:c r="L11" s="11" t="n">
        <x:v>0</x:v>
      </x:c>
      <x:c r="M11" s="18" t="n">
        <x:f>IF(D11="","",H11-I11-J11-K11-L11)</x:f>
        <x:v>25000</x:v>
      </x:c>
    </x:row>
    <x:row r="12" ht="28" customHeight="1">
      <x:c r="A12" s="9" t="n">
        <x:v>0.5486111111111112</x:v>
      </x:c>
      <x:c r="B12" s="10" t="str">
        <x:v>P006</x:v>
      </x:c>
      <x:c r="C12" s="10" t="str">
        <x:v>포장</x:v>
      </x:c>
      <x:c r="D12" s="10" t="str">
        <x:v>콤비네이션피자</x:v>
      </x:c>
      <x:c r="E12" s="11" t="n">
        <x:v>1</x:v>
      </x:c>
      <x:c r="F12" s="11" t="n">
        <x:v>22000</x:v>
      </x:c>
      <x:c r="G12" s="11" t="n">
        <x:v>8500</x:v>
      </x:c>
      <x:c r="H12" s="18" t="n">
        <x:f>IF(D12="","",E12*F12)</x:f>
        <x:v>22000</x:v>
      </x:c>
      <x:c r="I12" s="18" t="n">
        <x:f>IF(D12="","",E12*G12)</x:f>
        <x:v>8500</x:v>
      </x:c>
      <x:c r="J12" s="11" t="n">
        <x:v>0</x:v>
      </x:c>
      <x:c r="K12" s="11" t="n">
        <x:v>0</x:v>
      </x:c>
      <x:c r="L12" s="11" t="n">
        <x:v>2000</x:v>
      </x:c>
      <x:c r="M12" s="18" t="n">
        <x:f>IF(D12="","",H12-I12-J12-K12-L12)</x:f>
        <x:v>11500</x:v>
      </x:c>
    </x:row>
    <x:row r="13" ht="28" customHeight="1">
      <x:c r="A13" s="9" t="n">
        <x:v>0.5625</x:v>
      </x:c>
      <x:c r="B13" s="10" t="str">
        <x:v>P007</x:v>
      </x:c>
      <x:c r="C13" s="10" t="str">
        <x:v>배달앱</x:v>
      </x:c>
      <x:c r="D13" s="10" t="str">
        <x:v>치즈피자</x:v>
      </x:c>
      <x:c r="E13" s="11" t="n">
        <x:v>1</x:v>
      </x:c>
      <x:c r="F13" s="11" t="n">
        <x:v>16000</x:v>
      </x:c>
      <x:c r="G13" s="11" t="n">
        <x:v>5500</x:v>
      </x:c>
      <x:c r="H13" s="18" t="n">
        <x:f>IF(D13="","",E13*F13)</x:f>
        <x:v>16000</x:v>
      </x:c>
      <x:c r="I13" s="18" t="n">
        <x:f>IF(D13="","",E13*G13)</x:f>
        <x:v>5500</x:v>
      </x:c>
      <x:c r="J13" s="11" t="n">
        <x:v>1600</x:v>
      </x:c>
      <x:c r="K13" s="11" t="n">
        <x:v>3000</x:v>
      </x:c>
      <x:c r="L13" s="11" t="n">
        <x:v>0</x:v>
      </x:c>
      <x:c r="M13" s="18" t="n">
        <x:f>IF(D13="","",H13-I13-J13-K13-L13)</x:f>
        <x:v>5900</x:v>
      </x:c>
    </x:row>
    <x:row r="14" ht="28" customHeight="1">
      <x:c r="A14" s="9" t="n">
        <x:v>0.7083333333333334</x:v>
      </x:c>
      <x:c r="B14" s="10" t="str">
        <x:v>P008</x:v>
      </x:c>
      <x:c r="C14" s="10" t="str">
        <x:v>매장</x:v>
      </x:c>
      <x:c r="D14" s="10" t="str">
        <x:v>페퍼로니피자</x:v>
      </x:c>
      <x:c r="E14" s="11" t="n">
        <x:v>1</x:v>
      </x:c>
      <x:c r="F14" s="11" t="n">
        <x:v>18000</x:v>
      </x:c>
      <x:c r="G14" s="11" t="n">
        <x:v>6500</x:v>
      </x:c>
      <x:c r="H14" s="18" t="n">
        <x:f>IF(D14="","",E14*F14)</x:f>
        <x:v>18000</x:v>
      </x:c>
      <x:c r="I14" s="18" t="n">
        <x:f>IF(D14="","",E14*G14)</x:f>
        <x:v>6500</x:v>
      </x:c>
      <x:c r="J14" s="11" t="n">
        <x:v>0</x:v>
      </x:c>
      <x:c r="K14" s="11" t="n">
        <x:v>0</x:v>
      </x:c>
      <x:c r="L14" s="11" t="n">
        <x:v>0</x:v>
      </x:c>
      <x:c r="M14" s="18" t="n">
        <x:f>IF(D14="","",H14-I14-J14-K14-L14)</x:f>
        <x:v>11500</x:v>
      </x:c>
    </x:row>
    <x:row r="15" ht="28" customHeight="1">
      <x:c r="A15" s="9" t="n">
        <x:v>0.7222222222222222</x:v>
      </x:c>
      <x:c r="B15" s="10" t="str">
        <x:v>P009</x:v>
      </x:c>
      <x:c r="C15" s="10" t="str">
        <x:v>포장</x:v>
      </x:c>
      <x:c r="D15" s="10" t="str">
        <x:v>불고기피자</x:v>
      </x:c>
      <x:c r="E15" s="11" t="n">
        <x:v>2</x:v>
      </x:c>
      <x:c r="F15" s="11" t="n">
        <x:v>21000</x:v>
      </x:c>
      <x:c r="G15" s="11" t="n">
        <x:v>8000</x:v>
      </x:c>
      <x:c r="H15" s="18" t="n">
        <x:f>IF(D15="","",E15*F15)</x:f>
        <x:v>42000</x:v>
      </x:c>
      <x:c r="I15" s="18" t="n">
        <x:f>IF(D15="","",E15*G15)</x:f>
        <x:v>16000</x:v>
      </x:c>
      <x:c r="J15" s="11" t="n">
        <x:v>0</x:v>
      </x:c>
      <x:c r="K15" s="11" t="n">
        <x:v>0</x:v>
      </x:c>
      <x:c r="L15" s="11" t="n">
        <x:v>2000</x:v>
      </x:c>
      <x:c r="M15" s="18" t="n">
        <x:f>IF(D15="","",H15-I15-J15-K15-L15)</x:f>
        <x:v>24000</x:v>
      </x:c>
    </x:row>
    <x:row r="16" ht="28" customHeight="1">
      <x:c r="A16" s="9" t="n">
        <x:v>0.7361111111111112</x:v>
      </x:c>
      <x:c r="B16" s="10" t="str">
        <x:v>P010</x:v>
      </x:c>
      <x:c r="C16" s="10" t="str">
        <x:v>배달앱</x:v>
      </x:c>
      <x:c r="D16" s="10" t="str">
        <x:v>고구마피자</x:v>
      </x:c>
      <x:c r="E16" s="11" t="n">
        <x:v>1</x:v>
      </x:c>
      <x:c r="F16" s="11" t="n">
        <x:v>20000</x:v>
      </x:c>
      <x:c r="G16" s="11" t="n">
        <x:v>7500</x:v>
      </x:c>
      <x:c r="H16" s="18" t="n">
        <x:f>IF(D16="","",E16*F16)</x:f>
        <x:v>20000</x:v>
      </x:c>
      <x:c r="I16" s="18" t="n">
        <x:f>IF(D16="","",E16*G16)</x:f>
        <x:v>7500</x:v>
      </x:c>
      <x:c r="J16" s="11" t="n">
        <x:v>2000</x:v>
      </x:c>
      <x:c r="K16" s="11" t="n">
        <x:v>3000</x:v>
      </x:c>
      <x:c r="L16" s="11" t="n">
        <x:v>1000</x:v>
      </x:c>
      <x:c r="M16" s="18" t="n">
        <x:f>IF(D16="","",H16-I16-J16-K16-L16)</x:f>
        <x:v>6500</x:v>
      </x:c>
    </x:row>
    <x:row r="17" ht="28" customHeight="1">
      <x:c r="A17" s="9" t="n">
        <x:v>0.75</x:v>
      </x:c>
      <x:c r="B17" s="10" t="str">
        <x:v>P011</x:v>
      </x:c>
      <x:c r="C17" s="10" t="str">
        <x:v>배달앱</x:v>
      </x:c>
      <x:c r="D17" s="10" t="str">
        <x:v>콤비네이션피자</x:v>
      </x:c>
      <x:c r="E17" s="11" t="n">
        <x:v>2</x:v>
      </x:c>
      <x:c r="F17" s="11" t="n">
        <x:v>22000</x:v>
      </x:c>
      <x:c r="G17" s="11" t="n">
        <x:v>8500</x:v>
      </x:c>
      <x:c r="H17" s="18" t="n">
        <x:f>IF(D17="","",E17*F17)</x:f>
        <x:v>44000</x:v>
      </x:c>
      <x:c r="I17" s="18" t="n">
        <x:f>IF(D17="","",E17*G17)</x:f>
        <x:v>17000</x:v>
      </x:c>
      <x:c r="J17" s="11" t="n">
        <x:v>4400</x:v>
      </x:c>
      <x:c r="K17" s="11" t="n">
        <x:v>3000</x:v>
      </x:c>
      <x:c r="L17" s="11" t="n">
        <x:v>2000</x:v>
      </x:c>
      <x:c r="M17" s="18" t="n">
        <x:f>IF(D17="","",H17-I17-J17-K17-L17)</x:f>
        <x:v>17600</x:v>
      </x:c>
    </x:row>
    <x:row r="18" ht="28" customHeight="1">
      <x:c r="A18" s="9" t="n">
        <x:v>0.7638888888888888</x:v>
      </x:c>
      <x:c r="B18" s="10" t="str">
        <x:v>P012</x:v>
      </x:c>
      <x:c r="C18" s="10" t="str">
        <x:v>매장</x:v>
      </x:c>
      <x:c r="D18" s="10" t="str">
        <x:v>콤비네이션피자</x:v>
      </x:c>
      <x:c r="E18" s="11" t="n">
        <x:v>1</x:v>
      </x:c>
      <x:c r="F18" s="11" t="n">
        <x:v>22000</x:v>
      </x:c>
      <x:c r="G18" s="11" t="n">
        <x:v>8500</x:v>
      </x:c>
      <x:c r="H18" s="18" t="n">
        <x:f>IF(D18="","",E18*F18)</x:f>
        <x:v>22000</x:v>
      </x:c>
      <x:c r="I18" s="18" t="n">
        <x:f>IF(D18="","",E18*G18)</x:f>
        <x:v>8500</x:v>
      </x:c>
      <x:c r="J18" s="11" t="n">
        <x:v>0</x:v>
      </x:c>
      <x:c r="K18" s="11" t="n">
        <x:v>0</x:v>
      </x:c>
      <x:c r="L18" s="11" t="n">
        <x:v>0</x:v>
      </x:c>
      <x:c r="M18" s="18" t="n">
        <x:f>IF(D18="","",H18-I18-J18-K18-L18)</x:f>
        <x:v>13500</x:v>
      </x:c>
    </x:row>
    <x:row r="19" ht="28" customHeight="1">
      <x:c r="A19" s="9" t="n">
        <x:v>0.7777777777777778</x:v>
      </x:c>
      <x:c r="B19" s="10" t="str">
        <x:v>P013</x:v>
      </x:c>
      <x:c r="C19" s="10" t="str">
        <x:v>포장</x:v>
      </x:c>
      <x:c r="D19" s="10" t="str">
        <x:v>치즈피자</x:v>
      </x:c>
      <x:c r="E19" s="11" t="n">
        <x:v>1</x:v>
      </x:c>
      <x:c r="F19" s="11" t="n">
        <x:v>16000</x:v>
      </x:c>
      <x:c r="G19" s="11" t="n">
        <x:v>5500</x:v>
      </x:c>
      <x:c r="H19" s="18" t="n">
        <x:f>IF(D19="","",E19*F19)</x:f>
        <x:v>16000</x:v>
      </x:c>
      <x:c r="I19" s="18" t="n">
        <x:f>IF(D19="","",E19*G19)</x:f>
        <x:v>5500</x:v>
      </x:c>
      <x:c r="J19" s="11" t="n">
        <x:v>0</x:v>
      </x:c>
      <x:c r="K19" s="11" t="n">
        <x:v>0</x:v>
      </x:c>
      <x:c r="L19" s="11" t="n">
        <x:v>2000</x:v>
      </x:c>
      <x:c r="M19" s="18" t="n">
        <x:f>IF(D19="","",H19-I19-J19-K19-L19)</x:f>
        <x:v>8500</x:v>
      </x:c>
    </x:row>
    <x:row r="20" ht="28" customHeight="1">
      <x:c r="A20" s="9" t="n">
        <x:v>0.7916666666666666</x:v>
      </x:c>
      <x:c r="B20" s="10" t="str">
        <x:v>P014</x:v>
      </x:c>
      <x:c r="C20" s="10" t="str">
        <x:v>배달앱</x:v>
      </x:c>
      <x:c r="D20" s="10" t="str">
        <x:v>페퍼로니피자</x:v>
      </x:c>
      <x:c r="E20" s="11" t="n">
        <x:v>1</x:v>
      </x:c>
      <x:c r="F20" s="11" t="n">
        <x:v>18000</x:v>
      </x:c>
      <x:c r="G20" s="11" t="n">
        <x:v>6500</x:v>
      </x:c>
      <x:c r="H20" s="18" t="n">
        <x:f>IF(D20="","",E20*F20)</x:f>
        <x:v>18000</x:v>
      </x:c>
      <x:c r="I20" s="18" t="n">
        <x:f>IF(D20="","",E20*G20)</x:f>
        <x:v>6500</x:v>
      </x:c>
      <x:c r="J20" s="11" t="n">
        <x:v>1800</x:v>
      </x:c>
      <x:c r="K20" s="11" t="n">
        <x:v>3000</x:v>
      </x:c>
      <x:c r="L20" s="11" t="n">
        <x:v>8000</x:v>
      </x:c>
      <x:c r="M20" s="18" t="n">
        <x:f>IF(D20="","",H20-I20-J20-K20-L20)</x:f>
        <x:v>-1300</x:v>
      </x:c>
    </x:row>
    <x:row r="21" ht="28" customHeight="1">
      <x:c r="A21" s="9" t="n">
        <x:v>0.8125</x:v>
      </x:c>
      <x:c r="B21" s="10" t="str">
        <x:v>P015</x:v>
      </x:c>
      <x:c r="C21" s="10" t="str">
        <x:v>매장</x:v>
      </x:c>
      <x:c r="D21" s="10" t="str">
        <x:v>불고기피자</x:v>
      </x:c>
      <x:c r="E21" s="11" t="n">
        <x:v>2</x:v>
      </x:c>
      <x:c r="F21" s="11" t="n">
        <x:v>21000</x:v>
      </x:c>
      <x:c r="G21" s="11" t="n">
        <x:v>8000</x:v>
      </x:c>
      <x:c r="H21" s="18" t="n">
        <x:f>IF(D21="","",E21*F21)</x:f>
        <x:v>42000</x:v>
      </x:c>
      <x:c r="I21" s="18" t="n">
        <x:f>IF(D21="","",E21*G21)</x:f>
        <x:v>16000</x:v>
      </x:c>
      <x:c r="J21" s="11" t="n">
        <x:v>0</x:v>
      </x:c>
      <x:c r="K21" s="11" t="n">
        <x:v>0</x:v>
      </x:c>
      <x:c r="L21" s="11" t="n">
        <x:v>0</x:v>
      </x:c>
      <x:c r="M21" s="18" t="n">
        <x:f>IF(D21="","",H21-I21-J21-K21-L21)</x:f>
        <x:v>26000</x:v>
      </x:c>
    </x:row>
    <x:row r="22" ht="28" customHeight="1">
      <x:c r="A22" s="9"/>
      <x:c r="B22" s="10"/>
      <x:c r="C22" s="10"/>
      <x:c r="D22" s="10"/>
      <x:c r="E22" s="11"/>
      <x:c r="F22" s="11"/>
      <x:c r="G22" s="11"/>
      <x:c r="H22" s="18" t="str">
        <x:f>IF(D22="","",E22*F22)</x:f>
      </x:c>
      <x:c r="I22" s="18" t="str">
        <x:f>IF(D22="","",E22*G22)</x:f>
      </x:c>
      <x:c r="J22" s="11"/>
      <x:c r="K22" s="11"/>
      <x:c r="L22" s="11"/>
      <x:c r="M22" s="18" t="str">
        <x:f>IF(D22="","",H22-I22-J22-K22-L22)</x:f>
      </x:c>
    </x:row>
    <x:row r="23" ht="28" customHeight="1">
      <x:c r="A23" s="9"/>
      <x:c r="B23" s="10"/>
      <x:c r="C23" s="10"/>
      <x:c r="D23" s="10"/>
      <x:c r="E23" s="11"/>
      <x:c r="F23" s="11"/>
      <x:c r="G23" s="11"/>
      <x:c r="H23" s="18" t="str">
        <x:f>IF(D23="","",E23*F23)</x:f>
      </x:c>
      <x:c r="I23" s="18" t="str">
        <x:f>IF(D23="","",E23*G23)</x:f>
      </x:c>
      <x:c r="J23" s="11"/>
      <x:c r="K23" s="11"/>
      <x:c r="L23" s="11"/>
      <x:c r="M23" s="18" t="str">
        <x:f>IF(D23="","",H23-I23-J23-K23-L23)</x:f>
      </x:c>
    </x:row>
    <x:row r="24" ht="28" customHeight="1">
      <x:c r="A24" s="9"/>
      <x:c r="B24" s="10"/>
      <x:c r="C24" s="10"/>
      <x:c r="D24" s="10"/>
      <x:c r="E24" s="11"/>
      <x:c r="F24" s="11"/>
      <x:c r="G24" s="11"/>
      <x:c r="H24" s="18" t="str">
        <x:f>IF(D24="","",E24*F24)</x:f>
      </x:c>
      <x:c r="I24" s="18" t="str">
        <x:f>IF(D24="","",E24*G24)</x:f>
      </x:c>
      <x:c r="J24" s="11"/>
      <x:c r="K24" s="11"/>
      <x:c r="L24" s="11"/>
      <x:c r="M24" s="18" t="str">
        <x:f>IF(D24="","",H24-I24-J24-K24-L24)</x:f>
      </x:c>
    </x:row>
    <x:row r="25" ht="28" customHeight="1">
      <x:c r="A25" s="9"/>
      <x:c r="B25" s="10"/>
      <x:c r="C25" s="10"/>
      <x:c r="D25" s="10"/>
      <x:c r="E25" s="11"/>
      <x:c r="F25" s="11"/>
      <x:c r="G25" s="11"/>
      <x:c r="H25" s="18" t="str">
        <x:f>IF(D25="","",E25*F25)</x:f>
      </x:c>
      <x:c r="I25" s="18" t="str">
        <x:f>IF(D25="","",E25*G25)</x:f>
      </x:c>
      <x:c r="J25" s="11"/>
      <x:c r="K25" s="11"/>
      <x:c r="L25" s="11"/>
      <x:c r="M25" s="18" t="str">
        <x:f>IF(D25="","",H25-I25-J25-K25-L25)</x:f>
      </x:c>
    </x:row>
    <x:row r="26" ht="28" customHeight="1">
      <x:c r="A26" s="9"/>
      <x:c r="B26" s="10"/>
      <x:c r="C26" s="10"/>
      <x:c r="D26" s="10"/>
      <x:c r="E26" s="11"/>
      <x:c r="F26" s="11"/>
      <x:c r="G26" s="11"/>
      <x:c r="H26" s="18" t="str">
        <x:f>IF(D26="","",E26*F26)</x:f>
      </x:c>
      <x:c r="I26" s="18" t="str">
        <x:f>IF(D26="","",E26*G26)</x:f>
      </x:c>
      <x:c r="J26" s="11"/>
      <x:c r="K26" s="11"/>
      <x:c r="L26" s="11"/>
      <x:c r="M26" s="18" t="str">
        <x:f>IF(D26="","",H26-I26-J26-K26-L26)</x:f>
      </x:c>
    </x:row>
    <x:row r="27" ht="26" customHeight="1">
      <x:c r="A27" s="2"/>
      <x:c r="B27" s="2"/>
      <x:c r="C27" s="2"/>
      <x:c r="D27" s="2"/>
      <x:c r="E27" s="8"/>
      <x:c r="F27" s="8"/>
      <x:c r="G27" s="8"/>
      <x:c r="H27" s="8"/>
      <x:c r="I27" s="8"/>
      <x:c r="J27" s="8"/>
      <x:c r="K27" s="8"/>
      <x:c r="L27" s="8"/>
      <x:c r="M27" s="8"/>
    </x:row>
    <x:row r="28" ht="26" customHeight="1">
      <x:c r="A28" s="14" t="str">
        <x:v>주문 합계</x:v>
      </x:c>
      <x:c r="B28" s="14"/>
      <x:c r="C28" s="14"/>
      <x:c r="D28" s="14"/>
      <x:c r="E28" s="15" t="n">
        <x:f>SUM(E7:E26)</x:f>
        <x:v>20</x:v>
      </x:c>
      <x:c r="F28" s="15"/>
      <x:c r="G28" s="15"/>
      <x:c r="H28" s="15" t="n">
        <x:f>SUM(H7:H26)</x:f>
        <x:v>391000</x:v>
      </x:c>
      <x:c r="I28" s="15" t="n">
        <x:f>SUM(I7:I26)</x:f>
        <x:v>145500</x:v>
      </x:c>
      <x:c r="J28" s="15" t="n">
        <x:f>SUM(J7:J26)</x:f>
        <x:v>13700</x:v>
      </x:c>
      <x:c r="K28" s="15" t="n">
        <x:f>SUM(K7:K26)</x:f>
        <x:v>18000</x:v>
      </x:c>
      <x:c r="L28" s="15" t="n">
        <x:f>SUM(L7:L26)</x:f>
        <x:v>19000</x:v>
      </x:c>
      <x:c r="M28" s="15" t="n">
        <x:f>SUM(M7:M26)</x:f>
        <x:v>194800</x:v>
      </x:c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6" customHeight="1">
      <x:c r="A31" s="16" t="str">
        <x:v>하루 마감 · 오늘 얼마가 남았을까?</x:v>
      </x:c>
      <x:c r="B31" s="2"/>
      <x:c r="C31" s="2"/>
      <x:c r="D31" s="2"/>
      <x:c r="E31" s="2"/>
      <x:c r="F31" s="2"/>
      <x:c r="G31" s="16" t="str">
        <x:v>실습에서 사용하는 기준</x:v>
      </x:c>
      <x:c r="H31" s="2"/>
      <x:c r="I31" s="2"/>
      <x:c r="J31" s="2"/>
      <x:c r="K31" s="2"/>
      <x:c r="L31" s="2"/>
      <x:c r="M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32" customHeight="1">
      <x:c r="A33" s="6" t="str">
        <x:v>마감 항목</x:v>
      </x:c>
      <x:c r="B33" s="6" t="str">
        <x:v>금액</x:v>
      </x:c>
      <x:c r="C33" s="6" t="str">
        <x:v>계산 방법</x:v>
      </x:c>
      <x:c r="D33" s="2"/>
      <x:c r="E33" s="2"/>
      <x:c r="F33" s="2"/>
      <x:c r="G33" s="2" t="str">
        <x:v>수수료는 제시한 가상 금액을 입력합니다.</x:v>
      </x:c>
      <x:c r="H33" s="2"/>
      <x:c r="I33" s="2"/>
      <x:c r="J33" s="2"/>
      <x:c r="K33" s="2"/>
      <x:c r="L33" s="2"/>
      <x:c r="M33" s="2"/>
    </x:row>
    <x:row r="34" ht="26" customHeight="1">
      <x:c r="A34" s="2" t="str">
        <x:v>할인 전 매출</x:v>
      </x:c>
      <x:c r="B34" s="18" t="n">
        <x:f>H28</x:f>
        <x:v>391000</x:v>
      </x:c>
      <x:c r="C34" s="21" t="str">
        <x:v>주문 매출액 합계</x:v>
      </x:c>
      <x:c r="D34" s="2"/>
      <x:c r="E34" s="2"/>
      <x:c r="F34" s="2"/>
      <x:c r="G34" s="2" t="str">
        <x:v>배달부담은 고객 부담분을 뺀 가게 부담액입니다.</x:v>
      </x:c>
      <x:c r="H34" s="2"/>
      <x:c r="I34" s="2"/>
      <x:c r="J34" s="2"/>
      <x:c r="K34" s="2"/>
      <x:c r="L34" s="2"/>
      <x:c r="M34" s="2"/>
    </x:row>
    <x:row r="35" ht="26" customHeight="1">
      <x:c r="A35" s="2" t="str">
        <x:v>할인 합계</x:v>
      </x:c>
      <x:c r="B35" s="18" t="n">
        <x:f>L28</x:f>
        <x:v>19000</x:v>
      </x:c>
      <x:c r="C35" s="21" t="str">
        <x:v>가게가 부담한 할인액 합계</x:v>
      </x:c>
      <x:c r="D35" s="2"/>
      <x:c r="E35" s="2"/>
      <x:c r="F35" s="2"/>
      <x:c r="G35" s="2" t="str">
        <x:v>할인액은 가게가 부담한 주문 전체 할인액입니다.</x:v>
      </x:c>
      <x:c r="H35" s="2"/>
      <x:c r="I35" s="2"/>
      <x:c r="J35" s="2"/>
      <x:c r="K35" s="2"/>
      <x:c r="L35" s="2"/>
      <x:c r="M35" s="2"/>
    </x:row>
    <x:row r="36" ht="26" customHeight="1">
      <x:c r="A36" s="2" t="str">
        <x:v>할인 후 매출</x:v>
      </x:c>
      <x:c r="B36" s="18" t="n">
        <x:f>B34-B35</x:f>
        <x:v>372000</x:v>
      </x:c>
      <x:c r="C36" s="21" t="str">
        <x:v>할인 전 매출 - 할인 합계</x:v>
      </x:c>
      <x:c r="D36" s="2"/>
      <x:c r="E36" s="2"/>
      <x:c r="F36" s="2"/>
      <x:c r="G36" s="2" t="str">
        <x:v>재료단가는 피자 1판의 재료·포장 원가입니다.</x:v>
      </x:c>
      <x:c r="H36" s="2"/>
      <x:c r="I36" s="2"/>
      <x:c r="J36" s="2"/>
      <x:c r="K36" s="2"/>
      <x:c r="L36" s="2"/>
      <x:c r="M36" s="2"/>
    </x:row>
    <x:row r="37" ht="26" customHeight="1">
      <x:c r="A37" s="2" t="str">
        <x:v>재료비 합계</x:v>
      </x:c>
      <x:c r="B37" s="18" t="n">
        <x:f>I28</x:f>
        <x:v>145500</x:v>
      </x:c>
      <x:c r="C37" s="21" t="str">
        <x:v>재료비 열 합계</x:v>
      </x:c>
      <x:c r="D37" s="2"/>
      <x:c r="E37" s="2"/>
      <x:c r="F37" s="2"/>
      <x:c r="G37" s="2" t="str">
        <x:v>주문잔액 = 매출액 - 재료비 - 수수료</x:v>
      </x:c>
      <x:c r="H37" s="2"/>
      <x:c r="I37" s="2"/>
      <x:c r="J37" s="2"/>
      <x:c r="K37" s="2"/>
      <x:c r="L37" s="2"/>
      <x:c r="M37" s="2"/>
    </x:row>
    <x:row r="38" ht="26" customHeight="1">
      <x:c r="A38" s="2" t="str">
        <x:v>수수료 합계</x:v>
      </x:c>
      <x:c r="B38" s="18" t="n">
        <x:f>J28</x:f>
        <x:v>13700</x:v>
      </x:c>
      <x:c r="C38" s="21" t="str">
        <x:v>수수료 열 합계</x:v>
      </x:c>
      <x:c r="D38" s="2"/>
      <x:c r="E38" s="2"/>
      <x:c r="F38" s="2"/>
      <x:c r="G38" s="2" t="str">
        <x:v>                  - 배달부담 - 할인액</x:v>
      </x:c>
      <x:c r="H38" s="2"/>
      <x:c r="I38" s="2"/>
      <x:c r="J38" s="2"/>
      <x:c r="K38" s="2"/>
      <x:c r="L38" s="2"/>
      <x:c r="M38" s="2"/>
    </x:row>
    <x:row r="39" ht="26" customHeight="1">
      <x:c r="A39" s="2" t="str">
        <x:v>배달부담 합계</x:v>
      </x:c>
      <x:c r="B39" s="18" t="n">
        <x:f>K28</x:f>
        <x:v>18000</x:v>
      </x:c>
      <x:c r="C39" s="21" t="str">
        <x:v>배달부담 열 합계</x:v>
      </x:c>
      <x:c r="D39" s="2"/>
      <x:c r="E39" s="2"/>
      <x:c r="F39" s="2"/>
      <x:c r="G39" s="2" t="str">
        <x:v>임대료·공과금은 기타 하루 비용에 한 번만 넣습니다.</x:v>
      </x:c>
      <x:c r="H39" s="2"/>
      <x:c r="I39" s="2"/>
      <x:c r="J39" s="2"/>
      <x:c r="K39" s="2"/>
      <x:c r="L39" s="2"/>
      <x:c r="M39" s="2"/>
    </x:row>
    <x:row r="40" ht="26" customHeight="1">
      <x:c r="A40" s="2" t="str">
        <x:v>주문잔액 합계</x:v>
      </x:c>
      <x:c r="B40" s="18" t="n">
        <x:f>M28</x:f>
        <x:v>194800</x:v>
      </x:c>
      <x:c r="C40" s="21" t="str">
        <x:v>주문잔액 열 합계</x:v>
      </x:c>
      <x:c r="D40" s="2"/>
      <x:c r="E40" s="2"/>
      <x:c r="F40" s="2"/>
      <x:c r="G40" s="2" t="str">
        <x:v>사장 본인 인건비·세금은 별도로 반영하지 않았습니다.</x:v>
      </x:c>
      <x:c r="H40" s="2"/>
      <x:c r="I40" s="2"/>
      <x:c r="J40" s="2"/>
      <x:c r="K40" s="2"/>
      <x:c r="L40" s="2"/>
      <x:c r="M40" s="2"/>
    </x:row>
    <x:row r="41" ht="26" customHeight="1">
      <x:c r="A41" s="2" t="str">
        <x:v>오늘 인건비</x:v>
      </x:c>
      <x:c r="B41" s="11" t="n">
        <x:v>120000</x:v>
      </x:c>
      <x:c r="C41" s="21" t="str">
        <x:v>아르바이트 등 당일 인건비</x:v>
      </x:c>
      <x:c r="D41" s="2"/>
      <x:c r="E41" s="2"/>
      <x:c r="F41" s="2"/>
      <x:c r="G41" s="2" t="str">
        <x:v>실제 앱의 요율·정산 구조를 재현한 자료는 아닙니다.</x:v>
      </x:c>
      <x:c r="H41" s="2"/>
      <x:c r="I41" s="2"/>
      <x:c r="J41" s="2"/>
      <x:c r="K41" s="2"/>
      <x:c r="L41" s="2"/>
      <x:c r="M41" s="2"/>
    </x:row>
    <x:row r="42" ht="26" customHeight="1">
      <x:c r="A42" s="2" t="str">
        <x:v>기타 하루 비용</x:v>
      </x:c>
      <x:c r="B42" s="11" t="n">
        <x:v>40000</x:v>
      </x:c>
      <x:c r="C42" s="21" t="str">
        <x:v>임대료·공과금 등 하루 배분액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6" customHeight="1">
      <x:c r="A43" s="19" t="str">
        <x:v>하루 예상잔액</x:v>
      </x:c>
      <x:c r="B43" s="20" t="n">
        <x:f>B40-B41-B42</x:f>
        <x:v>34800</x:v>
      </x:c>
      <x:c r="C43" s="21" t="str">
        <x:v>주문잔액 합계 - 인건비 - 기타 하루 비용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6" customHeight="1">
      <x:c r="A46" s="16" t="str">
        <x:v>어떤 메뉴가 잘 팔렸을까?</x:v>
      </x:c>
      <x:c r="B46" s="2"/>
      <x:c r="C46" s="2"/>
      <x:c r="D46" s="2"/>
      <x:c r="E46" s="2"/>
      <x:c r="F46" s="2"/>
      <x:c r="G46" s="16" t="str">
        <x:v>매장·포장·배달앱 비교</x:v>
      </x:c>
      <x:c r="H46" s="2"/>
      <x:c r="I46" s="2"/>
      <x:c r="J46" s="2"/>
      <x:c r="K46" s="2"/>
      <x:c r="L46" s="2"/>
      <x:c r="M46" s="2"/>
    </x:row>
    <x:row r="47" ht="32" customHeight="1">
      <x:c r="A47" s="6" t="str">
        <x:v>메뉴</x:v>
      </x:c>
      <x:c r="B47" s="6" t="str">
        <x:v>판매수량</x:v>
      </x:c>
      <x:c r="C47" s="6" t="str">
        <x:v>매출액</x:v>
      </x:c>
      <x:c r="D47" s="6" t="str">
        <x:v>주문잔액</x:v>
      </x:c>
      <x:c r="E47" s="2"/>
      <x:c r="F47" s="2"/>
      <x:c r="G47" s="6" t="str">
        <x:v>판매방식</x:v>
      </x:c>
      <x:c r="H47" s="6" t="str">
        <x:v>주문건수</x:v>
      </x:c>
      <x:c r="I47" s="6" t="str">
        <x:v>매출액</x:v>
      </x:c>
      <x:c r="J47" s="6" t="str">
        <x:v>주문잔액</x:v>
      </x:c>
      <x:c r="K47" s="2"/>
      <x:c r="L47" s="2"/>
      <x:c r="M47" s="2"/>
    </x:row>
    <x:row r="48" ht="26" customHeight="1">
      <x:c r="A48" s="10" t="str">
        <x:v>치즈피자</x:v>
      </x:c>
      <x:c r="B48" s="18" t="n">
        <x:f>SUMIFS($E$7:$E$26,$D$7:$D$26,A48)</x:f>
        <x:v>3</x:v>
      </x:c>
      <x:c r="C48" s="18" t="n">
        <x:f>SUMIFS($H$7:$H$26,$D$7:$D$26,A48)</x:f>
        <x:v>48000</x:v>
      </x:c>
      <x:c r="D48" s="18" t="n">
        <x:f>SUMIFS($M$7:$M$26,$D$7:$D$26,A48)</x:f>
        <x:v>24900</x:v>
      </x:c>
      <x:c r="E48" s="2"/>
      <x:c r="F48" s="2"/>
      <x:c r="G48" s="10" t="str">
        <x:v>매장</x:v>
      </x:c>
      <x:c r="H48" s="18" t="n">
        <x:f>COUNTIFS($C$7:$C$26,G48)</x:f>
        <x:v>5</x:v>
      </x:c>
      <x:c r="I48" s="18" t="n">
        <x:f>SUMIFS($H$7:$H$26,$C$7:$C$26,G48)</x:f>
        <x:v>138000</x:v>
      </x:c>
      <x:c r="J48" s="18" t="n">
        <x:f>SUMIFS($M$7:$M$26,$C$7:$C$26,G48)</x:f>
        <x:v>86500</x:v>
      </x:c>
      <x:c r="K48" s="2"/>
      <x:c r="L48" s="2"/>
      <x:c r="M48" s="2"/>
    </x:row>
    <x:row r="49" ht="26" customHeight="1">
      <x:c r="A49" s="10" t="str">
        <x:v>페퍼로니피자</x:v>
      </x:c>
      <x:c r="B49" s="18" t="n">
        <x:f>SUMIFS($E$7:$E$26,$D$7:$D$26,A49)</x:f>
        <x:v>5</x:v>
      </x:c>
      <x:c r="C49" s="18" t="n">
        <x:f>SUMIFS($H$7:$H$26,$D$7:$D$26,A49)</x:f>
        <x:v>90000</x:v>
      </x:c>
      <x:c r="D49" s="18" t="n">
        <x:f>SUMIFS($M$7:$M$26,$D$7:$D$26,A49)</x:f>
        <x:v>37900</x:v>
      </x:c>
      <x:c r="E49" s="2"/>
      <x:c r="F49" s="2"/>
      <x:c r="G49" s="10" t="str">
        <x:v>포장</x:v>
      </x:c>
      <x:c r="H49" s="18" t="n">
        <x:f>COUNTIFS($C$7:$C$26,G49)</x:f>
        <x:v>4</x:v>
      </x:c>
      <x:c r="I49" s="18" t="n">
        <x:f>SUMIFS($H$7:$H$26,$C$7:$C$26,G49)</x:f>
        <x:v>116000</x:v>
      </x:c>
      <x:c r="J49" s="18" t="n">
        <x:f>SUMIFS($M$7:$M$26,$C$7:$C$26,G49)</x:f>
        <x:v>65000</x:v>
      </x:c>
      <x:c r="K49" s="2"/>
      <x:c r="L49" s="2"/>
      <x:c r="M49" s="2"/>
    </x:row>
    <x:row r="50" ht="26" customHeight="1">
      <x:c r="A50" s="10" t="str">
        <x:v>불고기피자</x:v>
      </x:c>
      <x:c r="B50" s="18" t="n">
        <x:f>SUMIFS($E$7:$E$26,$D$7:$D$26,A50)</x:f>
        <x:v>5</x:v>
      </x:c>
      <x:c r="C50" s="18" t="n">
        <x:f>SUMIFS($H$7:$H$26,$D$7:$D$26,A50)</x:f>
        <x:v>105000</x:v>
      </x:c>
      <x:c r="D50" s="18" t="n">
        <x:f>SUMIFS($M$7:$M$26,$D$7:$D$26,A50)</x:f>
        <x:v>57900</x:v>
      </x:c>
      <x:c r="E50" s="2"/>
      <x:c r="F50" s="2"/>
      <x:c r="G50" s="10" t="str">
        <x:v>배달앱</x:v>
      </x:c>
      <x:c r="H50" s="18" t="n">
        <x:f>COUNTIFS($C$7:$C$26,G50)</x:f>
        <x:v>6</x:v>
      </x:c>
      <x:c r="I50" s="18" t="n">
        <x:f>SUMIFS($H$7:$H$26,$C$7:$C$26,G50)</x:f>
        <x:v>137000</x:v>
      </x:c>
      <x:c r="J50" s="18" t="n">
        <x:f>SUMIFS($M$7:$M$26,$C$7:$C$26,G50)</x:f>
        <x:v>43300</x:v>
      </x:c>
      <x:c r="K50" s="2"/>
      <x:c r="L50" s="2"/>
      <x:c r="M50" s="2"/>
    </x:row>
    <x:row r="51" ht="26" customHeight="1">
      <x:c r="A51" s="10" t="str">
        <x:v>고구마피자</x:v>
      </x:c>
      <x:c r="B51" s="18" t="n">
        <x:f>SUMIFS($E$7:$E$26,$D$7:$D$26,A51)</x:f>
        <x:v>3</x:v>
      </x:c>
      <x:c r="C51" s="18" t="n">
        <x:f>SUMIFS($H$7:$H$26,$D$7:$D$26,A51)</x:f>
        <x:v>60000</x:v>
      </x:c>
      <x:c r="D51" s="18" t="n">
        <x:f>SUMIFS($M$7:$M$26,$D$7:$D$26,A51)</x:f>
        <x:v>31500</x:v>
      </x:c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6" customHeight="1">
      <x:c r="A52" s="10" t="str">
        <x:v>콤비네이션피자</x:v>
      </x:c>
      <x:c r="B52" s="18" t="n">
        <x:f>SUMIFS($E$7:$E$26,$D$7:$D$26,A52)</x:f>
        <x:v>4</x:v>
      </x:c>
      <x:c r="C52" s="18" t="n">
        <x:f>SUMIFS($H$7:$H$26,$D$7:$D$26,A52)</x:f>
        <x:v>88000</x:v>
      </x:c>
      <x:c r="D52" s="18" t="n">
        <x:f>SUMIFS($M$7:$M$26,$D$7:$D$26,A52)</x:f>
        <x:v>42600</x:v>
      </x:c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6" customHeight="1">
      <x:c r="A55" s="16" t="str">
        <x:v>수식 예시 · 실습 시트에 입력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6" customHeight="1">
      <x:c r="A56" s="2" t="str">
        <x:v>H7</x:v>
      </x:c>
      <x:c r="B56" s="2" t="str">
        <x:v>=E7*F7</x:v>
      </x:c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6" customHeight="1">
      <x:c r="A57" s="2" t="str">
        <x:v>I7</x:v>
      </x:c>
      <x:c r="B57" s="2" t="str">
        <x:v>=E7*G7</x:v>
      </x:c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6" customHeight="1">
      <x:c r="A58" s="2" t="str">
        <x:v>M7</x:v>
      </x:c>
      <x:c r="B58" s="2" t="str">
        <x:v>=H7-I7-J7-K7-L7</x:v>
      </x:c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6" customHeight="1">
      <x:c r="A59" s="2" t="str">
        <x:v>H28</x:v>
      </x:c>
      <x:c r="B59" s="2" t="str">
        <x:v>=SUM(H7:H26)</x:v>
      </x:c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6" customHeight="1">
      <x:c r="A60" s="2" t="str">
        <x:v>B34</x:v>
      </x:c>
      <x:c r="B60" s="2" t="str">
        <x:v>=H28</x:v>
      </x:c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6" customHeight="1">
      <x:c r="A61" s="2" t="str">
        <x:v>B35</x:v>
      </x:c>
      <x:c r="B61" s="2" t="str">
        <x:v>=L28</x:v>
      </x:c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6" customHeight="1">
      <x:c r="A62" s="2" t="str">
        <x:v>B36</x:v>
      </x:c>
      <x:c r="B62" s="2" t="str">
        <x:v>=B34-B35</x:v>
      </x:c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6" customHeight="1">
      <x:c r="A63" s="2" t="str">
        <x:v>B37 / B38 / B39 / B40</x:v>
      </x:c>
      <x:c r="B63" s="2" t="str">
        <x:v>=I28 / =J28 / =K28 / =M28</x:v>
      </x:c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6" customHeight="1">
      <x:c r="A64" s="2" t="str">
        <x:v>B43</x:v>
      </x:c>
      <x:c r="B64" s="2" t="str">
        <x:v>=B40-B41-B42</x:v>
      </x:c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6" customHeight="1">
      <x:c r="A65" s="2" t="str">
        <x:v>B48</x:v>
      </x:c>
      <x:c r="B65" s="2" t="str">
        <x:v>=SUMIFS($E$7:$E$26,$D$7:$D$26,A48)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6" customHeight="1">
      <x:c r="A66" s="2" t="str">
        <x:v>C48</x:v>
      </x:c>
      <x:c r="B66" s="2" t="str">
        <x:v>=SUMIFS($H$7:$H$26,$D$7:$D$26,A48)</x:v>
      </x:c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6" customHeight="1">
      <x:c r="A67" s="2" t="str">
        <x:v>D48</x:v>
      </x:c>
      <x:c r="B67" s="2" t="str">
        <x:v>=SUMIFS($M$7:$M$26,$D$7:$D$26,A48)</x:v>
      </x:c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6" customHeight="1">
      <x:c r="A68" s="2" t="str">
        <x:v>H48</x:v>
      </x:c>
      <x:c r="B68" s="2" t="str">
        <x:v>=COUNTIFS($C$7:$C$26,G48)</x:v>
      </x:c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6" customHeight="1">
      <x:c r="A69" s="2" t="str">
        <x:v>I48</x:v>
      </x:c>
      <x:c r="B69" s="2" t="str">
        <x:v>=SUMIFS($H$7:$H$26,$C$7:$C$26,G48)</x:v>
      </x:c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6" customHeight="1">
      <x:c r="A70" s="2" t="str">
        <x:v>J48</x:v>
      </x:c>
      <x:c r="B70" s="2" t="str">
        <x:v>=SUMIFS($M$7:$M$26,$C$7:$C$26,G48)</x:v>
      </x:c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26" customHeight="1">
      <x:c r="A72" s="2" t="str">
        <x:v>H7·I7·M7은 21행까지, 메뉴 집계는 52행까지, 판매방식 집계는 50행까지 아래로 복사합니다.</x:v>
      </x:c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26" customHeight="1">
      <x:c r="A73" s="2" t="str">
        <x:v>비교: P004는 6,700원, P008은 11,500원. 같은 피자도 수수료와 배달부담 때문에 남는 금액이 달라집니다.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26" customHeight="1">
      <x:c r="A74" s="2" t="str">
        <x:v>수식의 $는 집계할 주문 범위를 고정합니다. 아래로 복사해도 7~26행 범위가 바뀌지 않습니다.</x:v>
      </x:c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26" customHeight="1">
      <x:c r="A75" s="2" t="str">
        <x:v>실습용 단순 계산입니다. 하루 예상잔액은 세금 등을 모두 반영한 최종 순이익과 다릅니다.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</x:sheetData>
  <x:conditionalFormatting sqref="M7:M26">
    <x:cfRule type="cellIs" dxfId="1" priority="1" operator="lessThan">
      <x:formula>0</x:formula>
    </x:cfRule>
  </x:conditionalFormatting>
  <x:dataValidations count="1">
    <x:dataValidation type="list" sqref="C7:C26">
      <x:formula1>"매장,포장,배달앱"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752b0da0ab4f7e"/>
  </x:tableParts>
</x:worksheet>
</file>