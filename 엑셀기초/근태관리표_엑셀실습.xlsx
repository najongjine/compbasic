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1147a3338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근태실습" sheetId="1" r:id="Re625c0e8396741ee"/>
    <x:sheet xmlns:r="http://schemas.openxmlformats.org/officeDocument/2006/relationships" name="02_완성예시" sheetId="2" r:id="R892116c348874f48"/>
    <x:sheet xmlns:r="http://schemas.openxmlformats.org/officeDocument/2006/relationships" name="03_직원별집계" sheetId="3" r:id="Rfa48ca8ec61f4664"/>
    <x:sheet xmlns:r="http://schemas.openxmlformats.org/officeDocument/2006/relationships" name="04_실습안내" sheetId="4" r:id="R1880ed9594ae4b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hh:mm"/>
    <x:numFmt numFmtId="202" formatCode="0.0"/>
    <x:numFmt numFmtId="203" formatCode="0"/>
    <x:numFmt numFmtId="204" formatCode="0.00"/>
  </x:numFmts>
  <x:fonts count="5">
    <x:font>
      <x:sz val="11"/>
      <x:name val="Carlito"/>
    </x:font>
    <x:font>
      <x:b/>
      <x:sz val="17"/>
      <x:color rgb="FFFFFFFF"/>
      <x:name val="Carlito"/>
    </x:font>
    <x:font>
      <x:sz val="11"/>
      <x:color rgb="FF18354B"/>
      <x:name val="Carlito"/>
    </x:font>
    <x:font>
      <x:b/>
      <x:sz val="11"/>
      <x:color rgb="FFFFFFFF"/>
      <x:name val="Carlito"/>
    </x:font>
    <x:font>
      <x:b/>
      <x:sz val="11"/>
      <x:color rgb="FF18354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54B"/>
      </x:patternFill>
    </x:fill>
    <x:fill>
      <x:patternFill patternType="solid">
        <x:fgColor rgb="FFE5EEF3"/>
      </x:patternFill>
    </x:fill>
    <x:fill>
      <x:patternFill patternType="solid">
        <x:fgColor rgb="FF087F82"/>
      </x:patternFill>
    </x:fill>
    <x:fill>
      <x:patternFill patternType="solid">
        <x:fgColor rgb="FFEAF6F7"/>
      </x:patternFill>
    </x:fill>
    <x:fill>
      <x:patternFill patternType="solid">
        <x:fgColor rgb="FFDEEAF1"/>
      </x:patternFill>
    </x:fill>
    <x:fill>
      <x:patternFill patternType="solid">
        <x:fgColor rgb="FFDCE8F0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5" borderId="0" xfId="0" applyNumberFormat="1" applyFont="1" applyFill="1" applyBorder="1"/>
    <x:xf numFmtId="202" fontId="0" fillId="0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3" fontId="0" fillId="5" borderId="0" xfId="0" applyNumberFormat="1" applyFont="1" applyFill="1" applyBorder="1"/>
    <x:xf numFmtId="203" fontId="0" fillId="5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204" fontId="0" fillId="0" borderId="0" xfId="0" applyNumberFormat="1" applyFont="1" applyFill="1" applyBorder="1"/>
    <x:xf numFmtId="204" fontId="4" fillId="7" borderId="0" xfId="0" applyNumberFormat="1" applyFont="1" applyFill="1" applyBorder="1"/>
    <x:xf numFmtId="204" fontId="0" fillId="0" borderId="1" xfId="0" applyNumberFormat="1" applyFont="1" applyFill="1" applyBorder="1"/>
    <x:xf numFmtId="204" fontId="4" fillId="7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AC3030"/>
      </x:font>
      <x:fill>
        <x:patternFill patternType="solid">
          <x:bgColor rgb="FFFCE5E5"/>
        </x:patternFill>
      </x:fill>
    </x:dxf>
    <x:dxf>
      <x:fill>
        <x:patternFill patternType="solid">
          <x:bgColor rgb="FFFFF2C9"/>
        </x:patternFill>
      </x:fill>
    </x:dxf>
    <x:dxf>
      <x:font>
        <x:b/>
        <x:color rgb="FFAC3030"/>
      </x:font>
      <x:fill>
        <x:patternFill patternType="solid">
          <x:bgColor rgb="FFFCE5E5"/>
        </x:patternFill>
      </x:fill>
    </x:dxf>
    <x:dxf>
      <x:fill>
        <x:patternFill patternType="solid">
          <x:bgColor rgb="FFFFF2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f766e5e9e488a" /><Relationship Type="http://schemas.openxmlformats.org/officeDocument/2006/relationships/theme" Target="/xl/theme/theme1.xml" Id="R04b9796a858a402c" /><Relationship Type="http://schemas.openxmlformats.org/officeDocument/2006/relationships/sharedStrings" Target="/xl/sharedStrings.xml" Id="R35222fd221cf43ff" /><Relationship Type="http://schemas.openxmlformats.org/officeDocument/2006/relationships/worksheet" Target="/xl/worksheets/sheet1.xml" Id="Re625c0e8396741ee" /><Relationship Type="http://schemas.openxmlformats.org/officeDocument/2006/relationships/worksheet" Target="/xl/worksheets/sheet2.xml" Id="R892116c348874f48" /><Relationship Type="http://schemas.openxmlformats.org/officeDocument/2006/relationships/worksheet" Target="/xl/worksheets/sheet3.xml" Id="Rfa48ca8ec61f4664" /><Relationship Type="http://schemas.openxmlformats.org/officeDocument/2006/relationships/worksheet" Target="/xl/worksheets/sheet4.xml" Id="R1880ed9594ae4b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36c105aafe9478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출근일수</c:v>
          </c:tx>
          <c:cat>
            <c:strRef>
              <c:f>'03_직원별집계'!$B$6:$B$13</c:f>
              <c:strCache>
                <c:ptCount val="0"/>
              </c:strCache>
            </c:strRef>
          </c:cat>
          <c:val>
            <c:numRef>
              <c:f>'03_직원별집계'!$D$6:$D$13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36c105aafe9478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ttendancePractice" displayName="AttendancePractice" ref="A5:M173" headerRowCount="1" totalsRowCount="0" totalsRowShown="0">
  <x:tableColumns count="13">
    <x:tableColumn id="1" name="근무일"/>
    <x:tableColumn id="2" name="직원번호"/>
    <x:tableColumn id="3" name="직원명"/>
    <x:tableColumn id="4" name="부서"/>
    <x:tableColumn id="5" name="근태구분"/>
    <x:tableColumn id="6" name="출근시간"/>
    <x:tableColumn id="7" name="퇴근시간"/>
    <x:tableColumn id="8" name="휴게시간(h)"/>
    <x:tableColumn id="9" name="실근무시간(h)"/>
    <x:tableColumn id="10" name="지각(분)"/>
    <x:tableColumn id="11" name="연장근무(h)"/>
    <x:tableColumn id="12" name="근무판정"/>
    <x:tableColumn id="13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ttendanceAnswer" displayName="AttendanceAnswer" ref="A5:M173" headerRowCount="1" totalsRowCount="0" totalsRowShown="0">
  <x:tableColumns count="13">
    <x:tableColumn id="1" name="근무일"/>
    <x:tableColumn id="2" name="직원번호"/>
    <x:tableColumn id="3" name="직원명"/>
    <x:tableColumn id="4" name="부서"/>
    <x:tableColumn id="5" name="근태구분"/>
    <x:tableColumn id="6" name="출근시간"/>
    <x:tableColumn id="7" name="퇴근시간"/>
    <x:tableColumn id="8" name="휴게시간(h)"/>
    <x:tableColumn id="9" name="실근무시간(h)"/>
    <x:tableColumn id="10" name="지각(분)"/>
    <x:tableColumn id="11" name="연장근무(h)"/>
    <x:tableColumn id="12" name="근무판정"/>
    <x:tableColumn id="13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532054912c4d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e5f8c191b454b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7806774f15542e4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5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6" hidden="0" customWidth="1"/>
    <x:col min="9" max="9" width="19" hidden="0" customWidth="1"/>
    <x:col min="10" max="10" width="13" hidden="0" customWidth="1"/>
    <x:col min="11" max="11" width="17" hidden="0" customWidth="1"/>
    <x:col min="12" max="12" width="16" hidden="0" customWidth="1"/>
    <x:col min="13" max="13" width="19" hidden="0" customWidth="1"/>
  </x:cols>
  <x:sheetData>
    <x:row r="1" ht="25" customHeight="1">
      <x:c r="A1" s="3" t="str">
        <x:v>직원 근태관리대장  |  실습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6" customHeight="1">
      <x:c r="A3" s="7" t="str">
        <x:v>2026년 11월 · 직원 8명 · 평일 근무기록 | 기본근무 09:00~18:00, 휴게 1시간 (가상 자료)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 ht="30" customHeight="1">
      <x:c r="A5" s="11" t="str">
        <x:v>근무일</x:v>
      </x:c>
      <x:c r="B5" s="11" t="str">
        <x:v>직원번호</x:v>
      </x:c>
      <x:c r="C5" s="11" t="str">
        <x:v>직원명</x:v>
      </x:c>
      <x:c r="D5" s="11" t="str">
        <x:v>부서</x:v>
      </x:c>
      <x:c r="E5" s="11" t="str">
        <x:v>근태구분</x:v>
      </x:c>
      <x:c r="F5" s="11" t="str">
        <x:v>출근시간</x:v>
      </x:c>
      <x:c r="G5" s="11" t="str">
        <x:v>퇴근시간</x:v>
      </x:c>
      <x:c r="H5" s="11" t="str">
        <x:v>휴게시간(h)</x:v>
      </x:c>
      <x:c r="I5" s="11" t="str">
        <x:v>실근무시간(h)</x:v>
      </x:c>
      <x:c r="J5" s="11" t="str">
        <x:v>지각(분)</x:v>
      </x:c>
      <x:c r="K5" s="11" t="str">
        <x:v>연장근무(h)</x:v>
      </x:c>
      <x:c r="L5" s="11" t="str">
        <x:v>근무판정</x:v>
      </x:c>
      <x:c r="M5" s="11" t="str">
        <x:v>비고</x:v>
      </x:c>
    </x:row>
    <x:row r="6">
      <x:c r="A6" s="16" t="n">
        <x:v>46328</x:v>
      </x:c>
      <x:c r="B6" t="str">
        <x:v>E001</x:v>
      </x:c>
      <x:c r="C6" t="str">
        <x:v>김민수</x:v>
      </x:c>
      <x:c r="D6" t="str">
        <x:v>영업</x:v>
      </x:c>
      <x:c r="E6" t="str">
        <x:v>연차</x:v>
      </x:c>
      <x:c r="F6" s="18"/>
      <x:c r="G6" s="18"/>
      <x:c r="H6" s="20" t="n">
        <x:v>0</x:v>
      </x:c>
      <x:c r="I6" s="21"/>
      <x:c r="J6" s="21"/>
      <x:c r="K6" s="21"/>
      <x:c r="L6" s="14"/>
      <x:c r="M6"/>
    </x:row>
    <x:row r="7">
      <x:c r="A7" s="16" t="n">
        <x:v>46328</x:v>
      </x:c>
      <x:c r="B7" t="str">
        <x:v>E002</x:v>
      </x:c>
      <x:c r="C7" t="str">
        <x:v>이서연</x:v>
      </x:c>
      <x:c r="D7" t="str">
        <x:v>총무</x:v>
      </x:c>
      <x:c r="E7" t="str">
        <x:v>출근</x:v>
      </x:c>
      <x:c r="F7" s="18" t="n">
        <x:v>0.375</x:v>
      </x:c>
      <x:c r="G7" s="18" t="n">
        <x:v>0.75</x:v>
      </x:c>
      <x:c r="H7" s="20" t="n">
        <x:v>1</x:v>
      </x:c>
      <x:c r="I7" s="21"/>
      <x:c r="J7" s="21"/>
      <x:c r="K7" s="21"/>
      <x:c r="L7" s="14"/>
      <x:c r="M7"/>
    </x:row>
    <x:row r="8">
      <x:c r="A8" s="16" t="n">
        <x:v>46328</x:v>
      </x:c>
      <x:c r="B8" t="str">
        <x:v>E003</x:v>
      </x:c>
      <x:c r="C8" t="str">
        <x:v>박준호</x:v>
      </x:c>
      <x:c r="D8" t="str">
        <x:v>물류</x:v>
      </x:c>
      <x:c r="E8" t="str">
        <x:v>출근</x:v>
      </x:c>
      <x:c r="F8" s="18" t="n">
        <x:v>0.38333333333333336</x:v>
      </x:c>
      <x:c r="G8" s="18" t="n">
        <x:v>0.7708333333333334</x:v>
      </x:c>
      <x:c r="H8" s="20" t="n">
        <x:v>1</x:v>
      </x:c>
      <x:c r="I8" s="21"/>
      <x:c r="J8" s="21"/>
      <x:c r="K8" s="21"/>
      <x:c r="L8" s="14"/>
      <x:c r="M8"/>
    </x:row>
    <x:row r="9">
      <x:c r="A9" s="16" t="n">
        <x:v>46328</x:v>
      </x:c>
      <x:c r="B9" t="str">
        <x:v>E004</x:v>
      </x:c>
      <x:c r="C9" t="str">
        <x:v>최지은</x:v>
      </x:c>
      <x:c r="D9" t="str">
        <x:v>생산</x:v>
      </x:c>
      <x:c r="E9" t="str">
        <x:v>출근</x:v>
      </x:c>
      <x:c r="F9" s="18" t="n">
        <x:v>0.375</x:v>
      </x:c>
      <x:c r="G9" s="18" t="n">
        <x:v>0.8125</x:v>
      </x:c>
      <x:c r="H9" s="20" t="n">
        <x:v>1</x:v>
      </x:c>
      <x:c r="I9" s="21"/>
      <x:c r="J9" s="21"/>
      <x:c r="K9" s="21"/>
      <x:c r="L9" s="14"/>
      <x:c r="M9"/>
    </x:row>
    <x:row r="10">
      <x:c r="A10" s="16" t="n">
        <x:v>46328</x:v>
      </x:c>
      <x:c r="B10" t="str">
        <x:v>E005</x:v>
      </x:c>
      <x:c r="C10" t="str">
        <x:v>정현우</x:v>
      </x:c>
      <x:c r="D10" t="str">
        <x:v>생산</x:v>
      </x:c>
      <x:c r="E10" t="str">
        <x:v>출근</x:v>
      </x:c>
      <x:c r="F10" s="18" t="n">
        <x:v>0.375</x:v>
      </x:c>
      <x:c r="G10" s="18" t="n">
        <x:v>0.75</x:v>
      </x:c>
      <x:c r="H10" s="20" t="n">
        <x:v>1</x:v>
      </x:c>
      <x:c r="I10" s="21"/>
      <x:c r="J10" s="21"/>
      <x:c r="K10" s="21"/>
      <x:c r="L10" s="14"/>
      <x:c r="M10"/>
    </x:row>
    <x:row r="11">
      <x:c r="A11" s="16" t="n">
        <x:v>46328</x:v>
      </x:c>
      <x:c r="B11" t="str">
        <x:v>E006</x:v>
      </x:c>
      <x:c r="C11" t="str">
        <x:v>한유진</x:v>
      </x:c>
      <x:c r="D11" t="str">
        <x:v>영업</x:v>
      </x:c>
      <x:c r="E11" t="str">
        <x:v>출근</x:v>
      </x:c>
      <x:c r="F11" s="18" t="n">
        <x:v>0.38333333333333336</x:v>
      </x:c>
      <x:c r="G11" s="18" t="n">
        <x:v>0.75</x:v>
      </x:c>
      <x:c r="H11" s="20" t="n">
        <x:v>1</x:v>
      </x:c>
      <x:c r="I11" s="21"/>
      <x:c r="J11" s="21"/>
      <x:c r="K11" s="21"/>
      <x:c r="L11" s="14"/>
      <x:c r="M11"/>
    </x:row>
    <x:row r="12">
      <x:c r="A12" s="16" t="n">
        <x:v>46328</x:v>
      </x:c>
      <x:c r="B12" t="str">
        <x:v>E007</x:v>
      </x:c>
      <x:c r="C12" t="str">
        <x:v>오지훈</x:v>
      </x:c>
      <x:c r="D12" t="str">
        <x:v>물류</x:v>
      </x:c>
      <x:c r="E12" t="str">
        <x:v>출근</x:v>
      </x:c>
      <x:c r="F12" s="18" t="n">
        <x:v>0.375</x:v>
      </x:c>
      <x:c r="G12" s="18" t="n">
        <x:v>0.7916666666666666</x:v>
      </x:c>
      <x:c r="H12" s="20" t="n">
        <x:v>1</x:v>
      </x:c>
      <x:c r="I12" s="21"/>
      <x:c r="J12" s="21"/>
      <x:c r="K12" s="21"/>
      <x:c r="L12" s="14"/>
      <x:c r="M12"/>
    </x:row>
    <x:row r="13">
      <x:c r="A13" s="16" t="n">
        <x:v>46328</x:v>
      </x:c>
      <x:c r="B13" t="str">
        <x:v>E008</x:v>
      </x:c>
      <x:c r="C13" t="str">
        <x:v>강수빈</x:v>
      </x:c>
      <x:c r="D13" t="str">
        <x:v>총무</x:v>
      </x:c>
      <x:c r="E13" t="str">
        <x:v>출근</x:v>
      </x:c>
      <x:c r="F13" s="18" t="n">
        <x:v>0.375</x:v>
      </x:c>
      <x:c r="G13" s="18" t="n">
        <x:v>0.75</x:v>
      </x:c>
      <x:c r="H13" s="20" t="n">
        <x:v>1</x:v>
      </x:c>
      <x:c r="I13" s="21"/>
      <x:c r="J13" s="21"/>
      <x:c r="K13" s="21"/>
      <x:c r="L13" s="14"/>
      <x:c r="M13"/>
    </x:row>
    <x:row r="14">
      <x:c r="A14" s="16" t="n">
        <x:v>46329</x:v>
      </x:c>
      <x:c r="B14" t="str">
        <x:v>E001</x:v>
      </x:c>
      <x:c r="C14" t="str">
        <x:v>김민수</x:v>
      </x:c>
      <x:c r="D14" t="str">
        <x:v>영업</x:v>
      </x:c>
      <x:c r="E14" t="str">
        <x:v>출근</x:v>
      </x:c>
      <x:c r="F14" s="18" t="n">
        <x:v>0.37916666666666665</x:v>
      </x:c>
      <x:c r="G14" s="18" t="n">
        <x:v>0.75</x:v>
      </x:c>
      <x:c r="H14" s="20" t="n">
        <x:v>1</x:v>
      </x:c>
      <x:c r="I14" s="21"/>
      <x:c r="J14" s="21"/>
      <x:c r="K14" s="21"/>
      <x:c r="L14" s="14"/>
      <x:c r="M14"/>
    </x:row>
    <x:row r="15">
      <x:c r="A15" s="16" t="n">
        <x:v>46329</x:v>
      </x:c>
      <x:c r="B15" t="str">
        <x:v>E002</x:v>
      </x:c>
      <x:c r="C15" t="str">
        <x:v>이서연</x:v>
      </x:c>
      <x:c r="D15" t="str">
        <x:v>총무</x:v>
      </x:c>
      <x:c r="E15" t="str">
        <x:v>출근</x:v>
      </x:c>
      <x:c r="F15" s="18" t="n">
        <x:v>0.39444444444444443</x:v>
      </x:c>
      <x:c r="G15" s="18" t="n">
        <x:v>0.75</x:v>
      </x:c>
      <x:c r="H15" s="20" t="n">
        <x:v>1</x:v>
      </x:c>
      <x:c r="I15" s="21"/>
      <x:c r="J15" s="21"/>
      <x:c r="K15" s="21"/>
      <x:c r="L15" s="14"/>
      <x:c r="M15"/>
    </x:row>
    <x:row r="16">
      <x:c r="A16" s="16" t="n">
        <x:v>46329</x:v>
      </x:c>
      <x:c r="B16" t="str">
        <x:v>E003</x:v>
      </x:c>
      <x:c r="C16" t="str">
        <x:v>박준호</x:v>
      </x:c>
      <x:c r="D16" t="str">
        <x:v>물류</x:v>
      </x:c>
      <x:c r="E16" t="str">
        <x:v>출근</x:v>
      </x:c>
      <x:c r="F16" s="18" t="n">
        <x:v>0.375</x:v>
      </x:c>
      <x:c r="G16" s="18" t="n">
        <x:v>0.7916666666666666</x:v>
      </x:c>
      <x:c r="H16" s="20" t="n">
        <x:v>1</x:v>
      </x:c>
      <x:c r="I16" s="21"/>
      <x:c r="J16" s="21"/>
      <x:c r="K16" s="21"/>
      <x:c r="L16" s="14"/>
      <x:c r="M16"/>
    </x:row>
    <x:row r="17">
      <x:c r="A17" s="16" t="n">
        <x:v>46329</x:v>
      </x:c>
      <x:c r="B17" t="str">
        <x:v>E004</x:v>
      </x:c>
      <x:c r="C17" t="str">
        <x:v>최지은</x:v>
      </x:c>
      <x:c r="D17" t="str">
        <x:v>생산</x:v>
      </x:c>
      <x:c r="E17" t="str">
        <x:v>출근</x:v>
      </x:c>
      <x:c r="F17" s="18" t="n">
        <x:v>0.37916666666666665</x:v>
      </x:c>
      <x:c r="G17" s="18" t="n">
        <x:v>0.75</x:v>
      </x:c>
      <x:c r="H17" s="20" t="n">
        <x:v>1</x:v>
      </x:c>
      <x:c r="I17" s="21"/>
      <x:c r="J17" s="21"/>
      <x:c r="K17" s="21"/>
      <x:c r="L17" s="14"/>
      <x:c r="M17"/>
    </x:row>
    <x:row r="18">
      <x:c r="A18" s="16" t="n">
        <x:v>46329</x:v>
      </x:c>
      <x:c r="B18" t="str">
        <x:v>E005</x:v>
      </x:c>
      <x:c r="C18" t="str">
        <x:v>정현우</x:v>
      </x:c>
      <x:c r="D18" t="str">
        <x:v>생산</x:v>
      </x:c>
      <x:c r="E18" t="str">
        <x:v>출근</x:v>
      </x:c>
      <x:c r="F18" s="18" t="n">
        <x:v>0.39444444444444443</x:v>
      </x:c>
      <x:c r="G18" s="18" t="n">
        <x:v>0.75</x:v>
      </x:c>
      <x:c r="H18" s="20" t="n">
        <x:v>1</x:v>
      </x:c>
      <x:c r="I18" s="21"/>
      <x:c r="J18" s="21"/>
      <x:c r="K18" s="21"/>
      <x:c r="L18" s="14"/>
      <x:c r="M18"/>
    </x:row>
    <x:row r="19">
      <x:c r="A19" s="16" t="n">
        <x:v>46329</x:v>
      </x:c>
      <x:c r="B19" t="str">
        <x:v>E006</x:v>
      </x:c>
      <x:c r="C19" t="str">
        <x:v>한유진</x:v>
      </x:c>
      <x:c r="D19" t="str">
        <x:v>영업</x:v>
      </x:c>
      <x:c r="E19" t="str">
        <x:v>출근</x:v>
      </x:c>
      <x:c r="F19" s="18" t="n">
        <x:v>0.375</x:v>
      </x:c>
      <x:c r="G19" s="18" t="n">
        <x:v>0.7708333333333334</x:v>
      </x:c>
      <x:c r="H19" s="20" t="n">
        <x:v>1</x:v>
      </x:c>
      <x:c r="I19" s="21"/>
      <x:c r="J19" s="21"/>
      <x:c r="K19" s="21"/>
      <x:c r="L19" s="14"/>
      <x:c r="M19"/>
    </x:row>
    <x:row r="20">
      <x:c r="A20" s="16" t="n">
        <x:v>46329</x:v>
      </x:c>
      <x:c r="B20" t="str">
        <x:v>E007</x:v>
      </x:c>
      <x:c r="C20" t="str">
        <x:v>오지훈</x:v>
      </x:c>
      <x:c r="D20" t="str">
        <x:v>물류</x:v>
      </x:c>
      <x:c r="E20" t="str">
        <x:v>출근</x:v>
      </x:c>
      <x:c r="F20" s="18" t="n">
        <x:v>0.37916666666666665</x:v>
      </x:c>
      <x:c r="G20" s="18" t="n">
        <x:v>0.8125</x:v>
      </x:c>
      <x:c r="H20" s="20" t="n">
        <x:v>1</x:v>
      </x:c>
      <x:c r="I20" s="21"/>
      <x:c r="J20" s="21"/>
      <x:c r="K20" s="21"/>
      <x:c r="L20" s="14"/>
      <x:c r="M20"/>
    </x:row>
    <x:row r="21">
      <x:c r="A21" s="16" t="n">
        <x:v>46329</x:v>
      </x:c>
      <x:c r="B21" t="str">
        <x:v>E008</x:v>
      </x:c>
      <x:c r="C21" t="str">
        <x:v>강수빈</x:v>
      </x:c>
      <x:c r="D21" t="str">
        <x:v>총무</x:v>
      </x:c>
      <x:c r="E21" t="str">
        <x:v>출근</x:v>
      </x:c>
      <x:c r="F21" s="18" t="n">
        <x:v>0.39444444444444443</x:v>
      </x:c>
      <x:c r="G21" s="18" t="n">
        <x:v>0.75</x:v>
      </x:c>
      <x:c r="H21" s="20" t="n">
        <x:v>1</x:v>
      </x:c>
      <x:c r="I21" s="21"/>
      <x:c r="J21" s="21"/>
      <x:c r="K21" s="21"/>
      <x:c r="L21" s="14"/>
      <x:c r="M21"/>
    </x:row>
    <x:row r="22">
      <x:c r="A22" s="16" t="n">
        <x:v>46330</x:v>
      </x:c>
      <x:c r="B22" t="str">
        <x:v>E001</x:v>
      </x:c>
      <x:c r="C22" t="str">
        <x:v>김민수</x:v>
      </x:c>
      <x:c r="D22" t="str">
        <x:v>영업</x:v>
      </x:c>
      <x:c r="E22" t="str">
        <x:v>출근</x:v>
      </x:c>
      <x:c r="F22" s="18" t="n">
        <x:v>0.375</x:v>
      </x:c>
      <x:c r="G22" s="18" t="n">
        <x:v>0.75</x:v>
      </x:c>
      <x:c r="H22" s="20" t="n">
        <x:v>1</x:v>
      </x:c>
      <x:c r="I22" s="21"/>
      <x:c r="J22" s="21"/>
      <x:c r="K22" s="21"/>
      <x:c r="L22" s="14"/>
      <x:c r="M22"/>
    </x:row>
    <x:row r="23">
      <x:c r="A23" s="16" t="n">
        <x:v>46330</x:v>
      </x:c>
      <x:c r="B23" t="str">
        <x:v>E002</x:v>
      </x:c>
      <x:c r="C23" t="str">
        <x:v>이서연</x:v>
      </x:c>
      <x:c r="D23" t="str">
        <x:v>총무</x:v>
      </x:c>
      <x:c r="E23" t="str">
        <x:v>출근</x:v>
      </x:c>
      <x:c r="F23" s="18" t="n">
        <x:v>0.375</x:v>
      </x:c>
      <x:c r="G23" s="18" t="n">
        <x:v>0.7708333333333334</x:v>
      </x:c>
      <x:c r="H23" s="20" t="n">
        <x:v>1</x:v>
      </x:c>
      <x:c r="I23" s="21"/>
      <x:c r="J23" s="21"/>
      <x:c r="K23" s="21"/>
      <x:c r="L23" s="14"/>
      <x:c r="M23"/>
    </x:row>
    <x:row r="24">
      <x:c r="A24" s="16" t="n">
        <x:v>46330</x:v>
      </x:c>
      <x:c r="B24" t="str">
        <x:v>E003</x:v>
      </x:c>
      <x:c r="C24" t="str">
        <x:v>박준호</x:v>
      </x:c>
      <x:c r="D24" t="str">
        <x:v>물류</x:v>
      </x:c>
      <x:c r="E24" t="str">
        <x:v>출근</x:v>
      </x:c>
      <x:c r="F24" s="18" t="n">
        <x:v>0.38819444444444445</x:v>
      </x:c>
      <x:c r="G24" s="18" t="n">
        <x:v>0.8125</x:v>
      </x:c>
      <x:c r="H24" s="20" t="n">
        <x:v>1</x:v>
      </x:c>
      <x:c r="I24" s="21"/>
      <x:c r="J24" s="21"/>
      <x:c r="K24" s="21"/>
      <x:c r="L24" s="14"/>
      <x:c r="M24"/>
    </x:row>
    <x:row r="25">
      <x:c r="A25" s="16" t="n">
        <x:v>46330</x:v>
      </x:c>
      <x:c r="B25" t="str">
        <x:v>E004</x:v>
      </x:c>
      <x:c r="C25" t="str">
        <x:v>최지은</x:v>
      </x:c>
      <x:c r="D25" t="str">
        <x:v>생산</x:v>
      </x:c>
      <x:c r="E25" t="str">
        <x:v>출근</x:v>
      </x:c>
      <x:c r="F25" s="18" t="n">
        <x:v>0.375</x:v>
      </x:c>
      <x:c r="G25" s="18" t="n">
        <x:v>0.75</x:v>
      </x:c>
      <x:c r="H25" s="20" t="n">
        <x:v>1</x:v>
      </x:c>
      <x:c r="I25" s="21"/>
      <x:c r="J25" s="21"/>
      <x:c r="K25" s="21"/>
      <x:c r="L25" s="14"/>
      <x:c r="M25"/>
    </x:row>
    <x:row r="26">
      <x:c r="A26" s="16" t="n">
        <x:v>46330</x:v>
      </x:c>
      <x:c r="B26" t="str">
        <x:v>E005</x:v>
      </x:c>
      <x:c r="C26" t="str">
        <x:v>정현우</x:v>
      </x:c>
      <x:c r="D26" t="str">
        <x:v>생산</x:v>
      </x:c>
      <x:c r="E26" t="str">
        <x:v>출근</x:v>
      </x:c>
      <x:c r="F26" s="18" t="n">
        <x:v>0.375</x:v>
      </x:c>
      <x:c r="G26" s="18" t="n">
        <x:v>0.75</x:v>
      </x:c>
      <x:c r="H26" s="20" t="n">
        <x:v>1</x:v>
      </x:c>
      <x:c r="I26" s="21"/>
      <x:c r="J26" s="21"/>
      <x:c r="K26" s="21"/>
      <x:c r="L26" s="14"/>
      <x:c r="M26"/>
    </x:row>
    <x:row r="27">
      <x:c r="A27" s="16" t="n">
        <x:v>46330</x:v>
      </x:c>
      <x:c r="B27" t="str">
        <x:v>E006</x:v>
      </x:c>
      <x:c r="C27" t="str">
        <x:v>한유진</x:v>
      </x:c>
      <x:c r="D27" t="str">
        <x:v>영업</x:v>
      </x:c>
      <x:c r="E27" t="str">
        <x:v>출근</x:v>
      </x:c>
      <x:c r="F27" s="18" t="n">
        <x:v>0.38819444444444445</x:v>
      </x:c>
      <x:c r="G27" s="18" t="n">
        <x:v>0.7916666666666666</x:v>
      </x:c>
      <x:c r="H27" s="20" t="n">
        <x:v>1</x:v>
      </x:c>
      <x:c r="I27" s="21"/>
      <x:c r="J27" s="21"/>
      <x:c r="K27" s="21"/>
      <x:c r="L27" s="14"/>
      <x:c r="M27"/>
    </x:row>
    <x:row r="28">
      <x:c r="A28" s="16" t="n">
        <x:v>46330</x:v>
      </x:c>
      <x:c r="B28" t="str">
        <x:v>E007</x:v>
      </x:c>
      <x:c r="C28" t="str">
        <x:v>오지훈</x:v>
      </x:c>
      <x:c r="D28" t="str">
        <x:v>물류</x:v>
      </x:c>
      <x:c r="E28" t="str">
        <x:v>출근</x:v>
      </x:c>
      <x:c r="F28" s="18" t="n">
        <x:v>0.375</x:v>
      </x:c>
      <x:c r="G28" s="18" t="n">
        <x:v>0.75</x:v>
      </x:c>
      <x:c r="H28" s="20" t="n">
        <x:v>1</x:v>
      </x:c>
      <x:c r="I28" s="21"/>
      <x:c r="J28" s="21"/>
      <x:c r="K28" s="21"/>
      <x:c r="L28" s="14"/>
      <x:c r="M28"/>
    </x:row>
    <x:row r="29">
      <x:c r="A29" s="16" t="n">
        <x:v>46330</x:v>
      </x:c>
      <x:c r="B29" t="str">
        <x:v>E008</x:v>
      </x:c>
      <x:c r="C29" t="str">
        <x:v>강수빈</x:v>
      </x:c>
      <x:c r="D29" t="str">
        <x:v>총무</x:v>
      </x:c>
      <x:c r="E29" t="str">
        <x:v>출근</x:v>
      </x:c>
      <x:c r="F29" s="18" t="n">
        <x:v>0.375</x:v>
      </x:c>
      <x:c r="G29" s="18" t="n">
        <x:v>0.75</x:v>
      </x:c>
      <x:c r="H29" s="20" t="n">
        <x:v>1</x:v>
      </x:c>
      <x:c r="I29" s="21"/>
      <x:c r="J29" s="21"/>
      <x:c r="K29" s="21"/>
      <x:c r="L29" s="14"/>
      <x:c r="M29"/>
    </x:row>
    <x:row r="30">
      <x:c r="A30" s="16" t="n">
        <x:v>46331</x:v>
      </x:c>
      <x:c r="B30" t="str">
        <x:v>E001</x:v>
      </x:c>
      <x:c r="C30" t="str">
        <x:v>김민수</x:v>
      </x:c>
      <x:c r="D30" t="str">
        <x:v>영업</x:v>
      </x:c>
      <x:c r="E30" t="str">
        <x:v>출근</x:v>
      </x:c>
      <x:c r="F30" s="18" t="n">
        <x:v>0.38333333333333336</x:v>
      </x:c>
      <x:c r="G30" s="18" t="n">
        <x:v>0.75</x:v>
      </x:c>
      <x:c r="H30" s="20" t="n">
        <x:v>1</x:v>
      </x:c>
      <x:c r="I30" s="21"/>
      <x:c r="J30" s="21"/>
      <x:c r="K30" s="21"/>
      <x:c r="L30" s="14"/>
      <x:c r="M30"/>
    </x:row>
    <x:row r="31">
      <x:c r="A31" s="16" t="n">
        <x:v>46331</x:v>
      </x:c>
      <x:c r="B31" t="str">
        <x:v>E002</x:v>
      </x:c>
      <x:c r="C31" t="str">
        <x:v>이서연</x:v>
      </x:c>
      <x:c r="D31" t="str">
        <x:v>총무</x:v>
      </x:c>
      <x:c r="E31" t="str">
        <x:v>출근</x:v>
      </x:c>
      <x:c r="F31" s="18" t="n">
        <x:v>0.375</x:v>
      </x:c>
      <x:c r="G31" s="18" t="n">
        <x:v>0.7916666666666666</x:v>
      </x:c>
      <x:c r="H31" s="20" t="n">
        <x:v>1</x:v>
      </x:c>
      <x:c r="I31" s="21"/>
      <x:c r="J31" s="21"/>
      <x:c r="K31" s="21"/>
      <x:c r="L31" s="14"/>
      <x:c r="M31"/>
    </x:row>
    <x:row r="32">
      <x:c r="A32" s="16" t="n">
        <x:v>46331</x:v>
      </x:c>
      <x:c r="B32" t="str">
        <x:v>E003</x:v>
      </x:c>
      <x:c r="C32" t="str">
        <x:v>박준호</x:v>
      </x:c>
      <x:c r="D32" t="str">
        <x:v>물류</x:v>
      </x:c>
      <x:c r="E32" t="str">
        <x:v>연차</x:v>
      </x:c>
      <x:c r="F32" s="18"/>
      <x:c r="G32" s="18"/>
      <x:c r="H32" s="20" t="n">
        <x:v>0</x:v>
      </x:c>
      <x:c r="I32" s="21"/>
      <x:c r="J32" s="21"/>
      <x:c r="K32" s="21"/>
      <x:c r="L32" s="14"/>
      <x:c r="M32"/>
    </x:row>
    <x:row r="33">
      <x:c r="A33" s="16" t="n">
        <x:v>46331</x:v>
      </x:c>
      <x:c r="B33" t="str">
        <x:v>E004</x:v>
      </x:c>
      <x:c r="C33" t="str">
        <x:v>최지은</x:v>
      </x:c>
      <x:c r="D33" t="str">
        <x:v>생산</x:v>
      </x:c>
      <x:c r="E33" t="str">
        <x:v>출근</x:v>
      </x:c>
      <x:c r="F33" s="18" t="n">
        <x:v>0.38333333333333336</x:v>
      </x:c>
      <x:c r="G33" s="18" t="n">
        <x:v>0.75</x:v>
      </x:c>
      <x:c r="H33" s="20" t="n">
        <x:v>1</x:v>
      </x:c>
      <x:c r="I33" s="21"/>
      <x:c r="J33" s="21"/>
      <x:c r="K33" s="21"/>
      <x:c r="L33" s="14"/>
      <x:c r="M33"/>
    </x:row>
    <x:row r="34">
      <x:c r="A34" s="16" t="n">
        <x:v>46331</x:v>
      </x:c>
      <x:c r="B34" t="str">
        <x:v>E005</x:v>
      </x:c>
      <x:c r="C34" t="str">
        <x:v>정현우</x:v>
      </x:c>
      <x:c r="D34" t="str">
        <x:v>생산</x:v>
      </x:c>
      <x:c r="E34" t="str">
        <x:v>출근</x:v>
      </x:c>
      <x:c r="F34" s="18" t="n">
        <x:v>0.375</x:v>
      </x:c>
      <x:c r="G34" s="18" t="n">
        <x:v>0.7708333333333334</x:v>
      </x:c>
      <x:c r="H34" s="20" t="n">
        <x:v>1</x:v>
      </x:c>
      <x:c r="I34" s="21"/>
      <x:c r="J34" s="21"/>
      <x:c r="K34" s="21"/>
      <x:c r="L34" s="14"/>
      <x:c r="M34"/>
    </x:row>
    <x:row r="35">
      <x:c r="A35" s="16" t="n">
        <x:v>46331</x:v>
      </x:c>
      <x:c r="B35" t="str">
        <x:v>E006</x:v>
      </x:c>
      <x:c r="C35" t="str">
        <x:v>한유진</x:v>
      </x:c>
      <x:c r="D35" t="str">
        <x:v>영업</x:v>
      </x:c>
      <x:c r="E35" t="str">
        <x:v>출근</x:v>
      </x:c>
      <x:c r="F35" s="18" t="n">
        <x:v>0.375</x:v>
      </x:c>
      <x:c r="G35" s="18" t="n">
        <x:v>0.8125</x:v>
      </x:c>
      <x:c r="H35" s="20" t="n">
        <x:v>1</x:v>
      </x:c>
      <x:c r="I35" s="21"/>
      <x:c r="J35" s="21"/>
      <x:c r="K35" s="21"/>
      <x:c r="L35" s="14"/>
      <x:c r="M35"/>
    </x:row>
    <x:row r="36">
      <x:c r="A36" s="16" t="n">
        <x:v>46331</x:v>
      </x:c>
      <x:c r="B36" t="str">
        <x:v>E007</x:v>
      </x:c>
      <x:c r="C36" t="str">
        <x:v>오지훈</x:v>
      </x:c>
      <x:c r="D36" t="str">
        <x:v>물류</x:v>
      </x:c>
      <x:c r="E36" t="str">
        <x:v>출근</x:v>
      </x:c>
      <x:c r="F36" s="18" t="n">
        <x:v>0.38333333333333336</x:v>
      </x:c>
      <x:c r="G36" s="18" t="n">
        <x:v>0.75</x:v>
      </x:c>
      <x:c r="H36" s="20" t="n">
        <x:v>1</x:v>
      </x:c>
      <x:c r="I36" s="21"/>
      <x:c r="J36" s="21"/>
      <x:c r="K36" s="21"/>
      <x:c r="L36" s="14"/>
      <x:c r="M36"/>
    </x:row>
    <x:row r="37">
      <x:c r="A37" s="16" t="n">
        <x:v>46331</x:v>
      </x:c>
      <x:c r="B37" t="str">
        <x:v>E008</x:v>
      </x:c>
      <x:c r="C37" t="str">
        <x:v>강수빈</x:v>
      </x:c>
      <x:c r="D37" t="str">
        <x:v>총무</x:v>
      </x:c>
      <x:c r="E37" t="str">
        <x:v>출근</x:v>
      </x:c>
      <x:c r="F37" s="18" t="n">
        <x:v>0.375</x:v>
      </x:c>
      <x:c r="G37" s="18" t="n">
        <x:v>0.75</x:v>
      </x:c>
      <x:c r="H37" s="20" t="n">
        <x:v>1</x:v>
      </x:c>
      <x:c r="I37" s="21"/>
      <x:c r="J37" s="21"/>
      <x:c r="K37" s="21"/>
      <x:c r="L37" s="14"/>
      <x:c r="M37"/>
    </x:row>
    <x:row r="38">
      <x:c r="A38" s="16" t="n">
        <x:v>46332</x:v>
      </x:c>
      <x:c r="B38" t="str">
        <x:v>E001</x:v>
      </x:c>
      <x:c r="C38" t="str">
        <x:v>김민수</x:v>
      </x:c>
      <x:c r="D38" t="str">
        <x:v>영업</x:v>
      </x:c>
      <x:c r="E38" t="str">
        <x:v>출근</x:v>
      </x:c>
      <x:c r="F38" s="18" t="n">
        <x:v>0.375</x:v>
      </x:c>
      <x:c r="G38" s="18" t="n">
        <x:v>0.7708333333333334</x:v>
      </x:c>
      <x:c r="H38" s="20" t="n">
        <x:v>1</x:v>
      </x:c>
      <x:c r="I38" s="21"/>
      <x:c r="J38" s="21"/>
      <x:c r="K38" s="21"/>
      <x:c r="L38" s="14"/>
      <x:c r="M38"/>
    </x:row>
    <x:row r="39">
      <x:c r="A39" s="16" t="n">
        <x:v>46332</x:v>
      </x:c>
      <x:c r="B39" t="str">
        <x:v>E002</x:v>
      </x:c>
      <x:c r="C39" t="str">
        <x:v>이서연</x:v>
      </x:c>
      <x:c r="D39" t="str">
        <x:v>총무</x:v>
      </x:c>
      <x:c r="E39" t="str">
        <x:v>출근</x:v>
      </x:c>
      <x:c r="F39" s="18" t="n">
        <x:v>0.37916666666666665</x:v>
      </x:c>
      <x:c r="G39" s="18" t="n">
        <x:v>0.8125</x:v>
      </x:c>
      <x:c r="H39" s="20" t="n">
        <x:v>1</x:v>
      </x:c>
      <x:c r="I39" s="21"/>
      <x:c r="J39" s="21"/>
      <x:c r="K39" s="21"/>
      <x:c r="L39" s="14"/>
      <x:c r="M39"/>
    </x:row>
    <x:row r="40">
      <x:c r="A40" s="16" t="n">
        <x:v>46332</x:v>
      </x:c>
      <x:c r="B40" t="str">
        <x:v>E003</x:v>
      </x:c>
      <x:c r="C40" t="str">
        <x:v>박준호</x:v>
      </x:c>
      <x:c r="D40" t="str">
        <x:v>물류</x:v>
      </x:c>
      <x:c r="E40" t="str">
        <x:v>출근</x:v>
      </x:c>
      <x:c r="F40" s="18" t="n">
        <x:v>0.39444444444444443</x:v>
      </x:c>
      <x:c r="G40" s="18" t="n">
        <x:v>0.75</x:v>
      </x:c>
      <x:c r="H40" s="20" t="n">
        <x:v>1</x:v>
      </x:c>
      <x:c r="I40" s="21"/>
      <x:c r="J40" s="21"/>
      <x:c r="K40" s="21"/>
      <x:c r="L40" s="14"/>
      <x:c r="M40"/>
    </x:row>
    <x:row r="41">
      <x:c r="A41" s="16" t="n">
        <x:v>46332</x:v>
      </x:c>
      <x:c r="B41" t="str">
        <x:v>E004</x:v>
      </x:c>
      <x:c r="C41" t="str">
        <x:v>최지은</x:v>
      </x:c>
      <x:c r="D41" t="str">
        <x:v>생산</x:v>
      </x:c>
      <x:c r="E41" t="str">
        <x:v>출근</x:v>
      </x:c>
      <x:c r="F41" s="18" t="n">
        <x:v>0.375</x:v>
      </x:c>
      <x:c r="G41" s="18" t="n">
        <x:v>0.75</x:v>
      </x:c>
      <x:c r="H41" s="20" t="n">
        <x:v>1</x:v>
      </x:c>
      <x:c r="I41" s="21"/>
      <x:c r="J41" s="21"/>
      <x:c r="K41" s="21"/>
      <x:c r="L41" s="14"/>
      <x:c r="M41"/>
    </x:row>
    <x:row r="42">
      <x:c r="A42" s="16" t="n">
        <x:v>46332</x:v>
      </x:c>
      <x:c r="B42" t="str">
        <x:v>E005</x:v>
      </x:c>
      <x:c r="C42" t="str">
        <x:v>정현우</x:v>
      </x:c>
      <x:c r="D42" t="str">
        <x:v>생산</x:v>
      </x:c>
      <x:c r="E42" t="str">
        <x:v>출근</x:v>
      </x:c>
      <x:c r="F42" s="18" t="n">
        <x:v>0.37916666666666665</x:v>
      </x:c>
      <x:c r="G42" s="18" t="n">
        <x:v>0.7916666666666666</x:v>
      </x:c>
      <x:c r="H42" s="20" t="n">
        <x:v>1</x:v>
      </x:c>
      <x:c r="I42" s="21"/>
      <x:c r="J42" s="21"/>
      <x:c r="K42" s="21"/>
      <x:c r="L42" s="14"/>
      <x:c r="M42"/>
    </x:row>
    <x:row r="43">
      <x:c r="A43" s="16" t="n">
        <x:v>46332</x:v>
      </x:c>
      <x:c r="B43" t="str">
        <x:v>E006</x:v>
      </x:c>
      <x:c r="C43" t="str">
        <x:v>한유진</x:v>
      </x:c>
      <x:c r="D43" t="str">
        <x:v>영업</x:v>
      </x:c>
      <x:c r="E43" t="str">
        <x:v>출근</x:v>
      </x:c>
      <x:c r="F43" s="18" t="n">
        <x:v>0.39444444444444443</x:v>
      </x:c>
      <x:c r="G43" s="18" t="n">
        <x:v>0.75</x:v>
      </x:c>
      <x:c r="H43" s="20" t="n">
        <x:v>1</x:v>
      </x:c>
      <x:c r="I43" s="21"/>
      <x:c r="J43" s="21"/>
      <x:c r="K43" s="21"/>
      <x:c r="L43" s="14"/>
      <x:c r="M43"/>
    </x:row>
    <x:row r="44">
      <x:c r="A44" s="16" t="n">
        <x:v>46332</x:v>
      </x:c>
      <x:c r="B44" t="str">
        <x:v>E007</x:v>
      </x:c>
      <x:c r="C44" t="str">
        <x:v>오지훈</x:v>
      </x:c>
      <x:c r="D44" t="str">
        <x:v>물류</x:v>
      </x:c>
      <x:c r="E44" t="str">
        <x:v>출근</x:v>
      </x:c>
      <x:c r="F44" s="18" t="n">
        <x:v>0.375</x:v>
      </x:c>
      <x:c r="G44" s="18" t="n">
        <x:v>0.75</x:v>
      </x:c>
      <x:c r="H44" s="20" t="n">
        <x:v>1</x:v>
      </x:c>
      <x:c r="I44" s="21"/>
      <x:c r="J44" s="21"/>
      <x:c r="K44" s="21"/>
      <x:c r="L44" s="14"/>
      <x:c r="M44"/>
    </x:row>
    <x:row r="45">
      <x:c r="A45" s="16" t="n">
        <x:v>46332</x:v>
      </x:c>
      <x:c r="B45" t="str">
        <x:v>E008</x:v>
      </x:c>
      <x:c r="C45" t="str">
        <x:v>강수빈</x:v>
      </x:c>
      <x:c r="D45" t="str">
        <x:v>총무</x:v>
      </x:c>
      <x:c r="E45" t="str">
        <x:v>출근</x:v>
      </x:c>
      <x:c r="F45" s="18" t="n">
        <x:v>0.37916666666666665</x:v>
      </x:c>
      <x:c r="G45" s="18" t="n">
        <x:v>0.7708333333333334</x:v>
      </x:c>
      <x:c r="H45" s="20" t="n">
        <x:v>1</x:v>
      </x:c>
      <x:c r="I45" s="21"/>
      <x:c r="J45" s="21"/>
      <x:c r="K45" s="21"/>
      <x:c r="L45" s="14"/>
      <x:c r="M45"/>
    </x:row>
    <x:row r="46">
      <x:c r="A46" s="16" t="n">
        <x:v>46335</x:v>
      </x:c>
      <x:c r="B46" t="str">
        <x:v>E001</x:v>
      </x:c>
      <x:c r="C46" t="str">
        <x:v>김민수</x:v>
      </x:c>
      <x:c r="D46" t="str">
        <x:v>영업</x:v>
      </x:c>
      <x:c r="E46" t="str">
        <x:v>출근</x:v>
      </x:c>
      <x:c r="F46" s="18" t="n">
        <x:v>0.38819444444444445</x:v>
      </x:c>
      <x:c r="G46" s="18" t="n">
        <x:v>0.7916666666666666</x:v>
      </x:c>
      <x:c r="H46" s="20" t="n">
        <x:v>1</x:v>
      </x:c>
      <x:c r="I46" s="21"/>
      <x:c r="J46" s="21"/>
      <x:c r="K46" s="21"/>
      <x:c r="L46" s="14"/>
      <x:c r="M46"/>
    </x:row>
    <x:row r="47">
      <x:c r="A47" s="16" t="n">
        <x:v>46335</x:v>
      </x:c>
      <x:c r="B47" t="str">
        <x:v>E002</x:v>
      </x:c>
      <x:c r="C47" t="str">
        <x:v>이서연</x:v>
      </x:c>
      <x:c r="D47" t="str">
        <x:v>총무</x:v>
      </x:c>
      <x:c r="E47" t="str">
        <x:v>출근</x:v>
      </x:c>
      <x:c r="F47" s="18" t="n">
        <x:v>0.375</x:v>
      </x:c>
      <x:c r="G47" s="18" t="n">
        <x:v>0.75</x:v>
      </x:c>
      <x:c r="H47" s="20" t="n">
        <x:v>1</x:v>
      </x:c>
      <x:c r="I47" s="21"/>
      <x:c r="J47" s="21"/>
      <x:c r="K47" s="21"/>
      <x:c r="L47" s="14"/>
      <x:c r="M47"/>
    </x:row>
    <x:row r="48">
      <x:c r="A48" s="16" t="n">
        <x:v>46335</x:v>
      </x:c>
      <x:c r="B48" t="str">
        <x:v>E003</x:v>
      </x:c>
      <x:c r="C48" t="str">
        <x:v>박준호</x:v>
      </x:c>
      <x:c r="D48" t="str">
        <x:v>물류</x:v>
      </x:c>
      <x:c r="E48" t="str">
        <x:v>출근</x:v>
      </x:c>
      <x:c r="F48" s="18" t="n">
        <x:v>0.375</x:v>
      </x:c>
      <x:c r="G48" s="18" t="n">
        <x:v>0.75</x:v>
      </x:c>
      <x:c r="H48" s="20" t="n">
        <x:v>1</x:v>
      </x:c>
      <x:c r="I48" s="21"/>
      <x:c r="J48" s="21"/>
      <x:c r="K48" s="21"/>
      <x:c r="L48" s="14"/>
      <x:c r="M48"/>
    </x:row>
    <x:row r="49">
      <x:c r="A49" s="16" t="n">
        <x:v>46335</x:v>
      </x:c>
      <x:c r="B49" t="str">
        <x:v>E004</x:v>
      </x:c>
      <x:c r="C49" t="str">
        <x:v>최지은</x:v>
      </x:c>
      <x:c r="D49" t="str">
        <x:v>생산</x:v>
      </x:c>
      <x:c r="E49" t="str">
        <x:v>출근</x:v>
      </x:c>
      <x:c r="F49" s="18" t="n">
        <x:v>0.38819444444444445</x:v>
      </x:c>
      <x:c r="G49" s="18" t="n">
        <x:v>0.7708333333333334</x:v>
      </x:c>
      <x:c r="H49" s="20" t="n">
        <x:v>1</x:v>
      </x:c>
      <x:c r="I49" s="21"/>
      <x:c r="J49" s="21"/>
      <x:c r="K49" s="21"/>
      <x:c r="L49" s="14"/>
      <x:c r="M49"/>
    </x:row>
    <x:row r="50">
      <x:c r="A50" s="16" t="n">
        <x:v>46335</x:v>
      </x:c>
      <x:c r="B50" t="str">
        <x:v>E005</x:v>
      </x:c>
      <x:c r="C50" t="str">
        <x:v>정현우</x:v>
      </x:c>
      <x:c r="D50" t="str">
        <x:v>생산</x:v>
      </x:c>
      <x:c r="E50" t="str">
        <x:v>출근</x:v>
      </x:c>
      <x:c r="F50" s="18" t="n">
        <x:v>0.375</x:v>
      </x:c>
      <x:c r="G50" s="18" t="n">
        <x:v>0.8125</x:v>
      </x:c>
      <x:c r="H50" s="20" t="n">
        <x:v>1</x:v>
      </x:c>
      <x:c r="I50" s="21"/>
      <x:c r="J50" s="21"/>
      <x:c r="K50" s="21"/>
      <x:c r="L50" s="14"/>
      <x:c r="M50"/>
    </x:row>
    <x:row r="51">
      <x:c r="A51" s="16" t="n">
        <x:v>46335</x:v>
      </x:c>
      <x:c r="B51" t="str">
        <x:v>E006</x:v>
      </x:c>
      <x:c r="C51" t="str">
        <x:v>한유진</x:v>
      </x:c>
      <x:c r="D51" t="str">
        <x:v>영업</x:v>
      </x:c>
      <x:c r="E51" t="str">
        <x:v>출근</x:v>
      </x:c>
      <x:c r="F51" s="18" t="n">
        <x:v>0.375</x:v>
      </x:c>
      <x:c r="G51" s="18" t="n">
        <x:v>0.75</x:v>
      </x:c>
      <x:c r="H51" s="20" t="n">
        <x:v>1</x:v>
      </x:c>
      <x:c r="I51" s="21"/>
      <x:c r="J51" s="21"/>
      <x:c r="K51" s="21"/>
      <x:c r="L51" s="14"/>
      <x:c r="M51"/>
    </x:row>
    <x:row r="52">
      <x:c r="A52" s="16" t="n">
        <x:v>46335</x:v>
      </x:c>
      <x:c r="B52" t="str">
        <x:v>E007</x:v>
      </x:c>
      <x:c r="C52" t="str">
        <x:v>오지훈</x:v>
      </x:c>
      <x:c r="D52" t="str">
        <x:v>물류</x:v>
      </x:c>
      <x:c r="E52" t="str">
        <x:v>출근</x:v>
      </x:c>
      <x:c r="F52" s="18" t="n">
        <x:v>0.38819444444444445</x:v>
      </x:c>
      <x:c r="G52" s="18" t="n">
        <x:v>0.75</x:v>
      </x:c>
      <x:c r="H52" s="20" t="n">
        <x:v>1</x:v>
      </x:c>
      <x:c r="I52" s="21"/>
      <x:c r="J52" s="21"/>
      <x:c r="K52" s="21"/>
      <x:c r="L52" s="14"/>
      <x:c r="M52"/>
    </x:row>
    <x:row r="53">
      <x:c r="A53" s="16" t="n">
        <x:v>46335</x:v>
      </x:c>
      <x:c r="B53" t="str">
        <x:v>E008</x:v>
      </x:c>
      <x:c r="C53" t="str">
        <x:v>강수빈</x:v>
      </x:c>
      <x:c r="D53" t="str">
        <x:v>총무</x:v>
      </x:c>
      <x:c r="E53" t="str">
        <x:v>출근</x:v>
      </x:c>
      <x:c r="F53" s="18" t="n">
        <x:v>0.375</x:v>
      </x:c>
      <x:c r="G53" s="18" t="n">
        <x:v>0.7916666666666666</x:v>
      </x:c>
      <x:c r="H53" s="20" t="n">
        <x:v>1</x:v>
      </x:c>
      <x:c r="I53" s="21"/>
      <x:c r="J53" s="21"/>
      <x:c r="K53" s="21"/>
      <x:c r="L53" s="14"/>
      <x:c r="M53"/>
    </x:row>
    <x:row r="54">
      <x:c r="A54" s="16" t="n">
        <x:v>46336</x:v>
      </x:c>
      <x:c r="B54" t="str">
        <x:v>E001</x:v>
      </x:c>
      <x:c r="C54" t="str">
        <x:v>김민수</x:v>
      </x:c>
      <x:c r="D54" t="str">
        <x:v>영업</x:v>
      </x:c>
      <x:c r="E54" t="str">
        <x:v>출근</x:v>
      </x:c>
      <x:c r="F54" s="18" t="n">
        <x:v>0.375</x:v>
      </x:c>
      <x:c r="G54" s="18" t="n">
        <x:v>0.8125</x:v>
      </x:c>
      <x:c r="H54" s="20" t="n">
        <x:v>1</x:v>
      </x:c>
      <x:c r="I54" s="21"/>
      <x:c r="J54" s="21"/>
      <x:c r="K54" s="21"/>
      <x:c r="L54" s="14"/>
      <x:c r="M54"/>
    </x:row>
    <x:row r="55">
      <x:c r="A55" s="16" t="n">
        <x:v>46336</x:v>
      </x:c>
      <x:c r="B55" t="str">
        <x:v>E002</x:v>
      </x:c>
      <x:c r="C55" t="str">
        <x:v>이서연</x:v>
      </x:c>
      <x:c r="D55" t="str">
        <x:v>총무</x:v>
      </x:c>
      <x:c r="E55" t="str">
        <x:v>출근</x:v>
      </x:c>
      <x:c r="F55" s="18" t="n">
        <x:v>0.38333333333333336</x:v>
      </x:c>
      <x:c r="G55" s="18" t="n">
        <x:v>0.75</x:v>
      </x:c>
      <x:c r="H55" s="20" t="n">
        <x:v>1</x:v>
      </x:c>
      <x:c r="I55" s="21"/>
      <x:c r="J55" s="21"/>
      <x:c r="K55" s="21"/>
      <x:c r="L55" s="14"/>
      <x:c r="M55"/>
    </x:row>
    <x:row r="56">
      <x:c r="A56" s="16" t="n">
        <x:v>46336</x:v>
      </x:c>
      <x:c r="B56" t="str">
        <x:v>E003</x:v>
      </x:c>
      <x:c r="C56" t="str">
        <x:v>박준호</x:v>
      </x:c>
      <x:c r="D56" t="str">
        <x:v>물류</x:v>
      </x:c>
      <x:c r="E56" t="str">
        <x:v>출근</x:v>
      </x:c>
      <x:c r="F56" s="18" t="n">
        <x:v>0.375</x:v>
      </x:c>
      <x:c r="G56" s="18" t="n">
        <x:v>0.75</x:v>
      </x:c>
      <x:c r="H56" s="20" t="n">
        <x:v>1</x:v>
      </x:c>
      <x:c r="I56" s="21"/>
      <x:c r="J56" s="21"/>
      <x:c r="K56" s="21"/>
      <x:c r="L56" s="14"/>
      <x:c r="M56"/>
    </x:row>
    <x:row r="57">
      <x:c r="A57" s="16" t="n">
        <x:v>46336</x:v>
      </x:c>
      <x:c r="B57" t="str">
        <x:v>E004</x:v>
      </x:c>
      <x:c r="C57" t="str">
        <x:v>최지은</x:v>
      </x:c>
      <x:c r="D57" t="str">
        <x:v>생산</x:v>
      </x:c>
      <x:c r="E57" t="str">
        <x:v>출근</x:v>
      </x:c>
      <x:c r="F57" s="18" t="n">
        <x:v>0.375</x:v>
      </x:c>
      <x:c r="G57" s="18" t="n">
        <x:v>0.7916666666666666</x:v>
      </x:c>
      <x:c r="H57" s="20" t="n">
        <x:v>1</x:v>
      </x:c>
      <x:c r="I57" s="21"/>
      <x:c r="J57" s="21"/>
      <x:c r="K57" s="21"/>
      <x:c r="L57" s="14"/>
      <x:c r="M57"/>
    </x:row>
    <x:row r="58">
      <x:c r="A58" s="16" t="n">
        <x:v>46336</x:v>
      </x:c>
      <x:c r="B58" t="str">
        <x:v>E005</x:v>
      </x:c>
      <x:c r="C58" t="str">
        <x:v>정현우</x:v>
      </x:c>
      <x:c r="D58" t="str">
        <x:v>생산</x:v>
      </x:c>
      <x:c r="E58" t="str">
        <x:v>연차</x:v>
      </x:c>
      <x:c r="F58" s="18"/>
      <x:c r="G58" s="18"/>
      <x:c r="H58" s="20" t="n">
        <x:v>0</x:v>
      </x:c>
      <x:c r="I58" s="21"/>
      <x:c r="J58" s="21"/>
      <x:c r="K58" s="21"/>
      <x:c r="L58" s="14"/>
      <x:c r="M58"/>
    </x:row>
    <x:row r="59">
      <x:c r="A59" s="16" t="n">
        <x:v>46336</x:v>
      </x:c>
      <x:c r="B59" t="str">
        <x:v>E006</x:v>
      </x:c>
      <x:c r="C59" t="str">
        <x:v>한유진</x:v>
      </x:c>
      <x:c r="D59" t="str">
        <x:v>영업</x:v>
      </x:c>
      <x:c r="E59" t="str">
        <x:v>출근</x:v>
      </x:c>
      <x:c r="F59" s="18" t="n">
        <x:v>0.375</x:v>
      </x:c>
      <x:c r="G59" s="18" t="n">
        <x:v>0.75</x:v>
      </x:c>
      <x:c r="H59" s="20" t="n">
        <x:v>1</x:v>
      </x:c>
      <x:c r="I59" s="21"/>
      <x:c r="J59" s="21"/>
      <x:c r="K59" s="21"/>
      <x:c r="L59" s="14"/>
      <x:c r="M59"/>
    </x:row>
    <x:row r="60">
      <x:c r="A60" s="16" t="n">
        <x:v>46336</x:v>
      </x:c>
      <x:c r="B60" t="str">
        <x:v>E007</x:v>
      </x:c>
      <x:c r="C60" t="str">
        <x:v>오지훈</x:v>
      </x:c>
      <x:c r="D60" t="str">
        <x:v>물류</x:v>
      </x:c>
      <x:c r="E60" t="str">
        <x:v>출근</x:v>
      </x:c>
      <x:c r="F60" s="18" t="n">
        <x:v>0.375</x:v>
      </x:c>
      <x:c r="G60" s="18" t="n">
        <x:v>0.7708333333333334</x:v>
      </x:c>
      <x:c r="H60" s="20" t="n">
        <x:v>1</x:v>
      </x:c>
      <x:c r="I60" s="21"/>
      <x:c r="J60" s="21"/>
      <x:c r="K60" s="21"/>
      <x:c r="L60" s="14"/>
      <x:c r="M60"/>
    </x:row>
    <x:row r="61">
      <x:c r="A61" s="16" t="n">
        <x:v>46336</x:v>
      </x:c>
      <x:c r="B61" t="str">
        <x:v>E008</x:v>
      </x:c>
      <x:c r="C61" t="str">
        <x:v>강수빈</x:v>
      </x:c>
      <x:c r="D61" t="str">
        <x:v>총무</x:v>
      </x:c>
      <x:c r="E61" t="str">
        <x:v>출근</x:v>
      </x:c>
      <x:c r="F61" s="18" t="n">
        <x:v>0.38333333333333336</x:v>
      </x:c>
      <x:c r="G61" s="18" t="n">
        <x:v>0.8125</x:v>
      </x:c>
      <x:c r="H61" s="20" t="n">
        <x:v>1</x:v>
      </x:c>
      <x:c r="I61" s="21"/>
      <x:c r="J61" s="21"/>
      <x:c r="K61" s="21"/>
      <x:c r="L61" s="14"/>
      <x:c r="M61"/>
    </x:row>
    <x:row r="62">
      <x:c r="A62" s="16" t="n">
        <x:v>46337</x:v>
      </x:c>
      <x:c r="B62" t="str">
        <x:v>E001</x:v>
      </x:c>
      <x:c r="C62" t="str">
        <x:v>김민수</x:v>
      </x:c>
      <x:c r="D62" t="str">
        <x:v>영업</x:v>
      </x:c>
      <x:c r="E62" t="str">
        <x:v>출근</x:v>
      </x:c>
      <x:c r="F62" s="18" t="n">
        <x:v>0.39444444444444443</x:v>
      </x:c>
      <x:c r="G62" s="18" t="n">
        <x:v>0.75</x:v>
      </x:c>
      <x:c r="H62" s="20" t="n">
        <x:v>1</x:v>
      </x:c>
      <x:c r="I62" s="21"/>
      <x:c r="J62" s="21"/>
      <x:c r="K62" s="21"/>
      <x:c r="L62" s="14"/>
      <x:c r="M62"/>
    </x:row>
    <x:row r="63">
      <x:c r="A63" s="16" t="n">
        <x:v>46337</x:v>
      </x:c>
      <x:c r="B63" t="str">
        <x:v>E002</x:v>
      </x:c>
      <x:c r="C63" t="str">
        <x:v>이서연</x:v>
      </x:c>
      <x:c r="D63" t="str">
        <x:v>총무</x:v>
      </x:c>
      <x:c r="E63" t="str">
        <x:v>출근</x:v>
      </x:c>
      <x:c r="F63" s="18" t="n">
        <x:v>0.375</x:v>
      </x:c>
      <x:c r="G63" s="18" t="n">
        <x:v>0.75</x:v>
      </x:c>
      <x:c r="H63" s="20" t="n">
        <x:v>1</x:v>
      </x:c>
      <x:c r="I63" s="21"/>
      <x:c r="J63" s="21"/>
      <x:c r="K63" s="21"/>
      <x:c r="L63" s="14"/>
      <x:c r="M63"/>
    </x:row>
    <x:row r="64">
      <x:c r="A64" s="16" t="n">
        <x:v>46337</x:v>
      </x:c>
      <x:c r="B64" t="str">
        <x:v>E003</x:v>
      </x:c>
      <x:c r="C64" t="str">
        <x:v>박준호</x:v>
      </x:c>
      <x:c r="D64" t="str">
        <x:v>물류</x:v>
      </x:c>
      <x:c r="E64" t="str">
        <x:v>출근</x:v>
      </x:c>
      <x:c r="F64" s="18" t="n">
        <x:v>0.37916666666666665</x:v>
      </x:c>
      <x:c r="G64" s="18" t="n">
        <x:v>0.7708333333333334</x:v>
      </x:c>
      <x:c r="H64" s="20" t="n">
        <x:v>1</x:v>
      </x:c>
      <x:c r="I64" s="21"/>
      <x:c r="J64" s="21"/>
      <x:c r="K64" s="21"/>
      <x:c r="L64" s="14"/>
      <x:c r="M64"/>
    </x:row>
    <x:row r="65">
      <x:c r="A65" s="16" t="n">
        <x:v>46337</x:v>
      </x:c>
      <x:c r="B65" t="str">
        <x:v>E004</x:v>
      </x:c>
      <x:c r="C65" t="str">
        <x:v>최지은</x:v>
      </x:c>
      <x:c r="D65" t="str">
        <x:v>생산</x:v>
      </x:c>
      <x:c r="E65" t="str">
        <x:v>출근</x:v>
      </x:c>
      <x:c r="F65" s="18" t="n">
        <x:v>0.39444444444444443</x:v>
      </x:c>
      <x:c r="G65" s="18" t="n">
        <x:v>0.8125</x:v>
      </x:c>
      <x:c r="H65" s="20" t="n">
        <x:v>1</x:v>
      </x:c>
      <x:c r="I65" s="21"/>
      <x:c r="J65" s="21"/>
      <x:c r="K65" s="21"/>
      <x:c r="L65" s="14"/>
      <x:c r="M65"/>
    </x:row>
    <x:row r="66">
      <x:c r="A66" s="16" t="n">
        <x:v>46337</x:v>
      </x:c>
      <x:c r="B66" t="str">
        <x:v>E005</x:v>
      </x:c>
      <x:c r="C66" t="str">
        <x:v>정현우</x:v>
      </x:c>
      <x:c r="D66" t="str">
        <x:v>생산</x:v>
      </x:c>
      <x:c r="E66" t="str">
        <x:v>결근</x:v>
      </x:c>
      <x:c r="F66" s="18"/>
      <x:c r="G66" s="18"/>
      <x:c r="H66" s="20" t="n">
        <x:v>0</x:v>
      </x:c>
      <x:c r="I66" s="21"/>
      <x:c r="J66" s="21"/>
      <x:c r="K66" s="21"/>
      <x:c r="L66" s="14"/>
      <x:c r="M66"/>
    </x:row>
    <x:row r="67">
      <x:c r="A67" s="16" t="n">
        <x:v>46337</x:v>
      </x:c>
      <x:c r="B67" t="str">
        <x:v>E006</x:v>
      </x:c>
      <x:c r="C67" t="str">
        <x:v>한유진</x:v>
      </x:c>
      <x:c r="D67" t="str">
        <x:v>영업</x:v>
      </x:c>
      <x:c r="E67" t="str">
        <x:v>출근</x:v>
      </x:c>
      <x:c r="F67" s="18" t="n">
        <x:v>0.37916666666666665</x:v>
      </x:c>
      <x:c r="G67" s="18" t="n">
        <x:v>0.75</x:v>
      </x:c>
      <x:c r="H67" s="20" t="n">
        <x:v>1</x:v>
      </x:c>
      <x:c r="I67" s="21"/>
      <x:c r="J67" s="21"/>
      <x:c r="K67" s="21"/>
      <x:c r="L67" s="14"/>
      <x:c r="M67"/>
    </x:row>
    <x:row r="68">
      <x:c r="A68" s="16" t="n">
        <x:v>46337</x:v>
      </x:c>
      <x:c r="B68" t="str">
        <x:v>E007</x:v>
      </x:c>
      <x:c r="C68" t="str">
        <x:v>오지훈</x:v>
      </x:c>
      <x:c r="D68" t="str">
        <x:v>물류</x:v>
      </x:c>
      <x:c r="E68" t="str">
        <x:v>출근</x:v>
      </x:c>
      <x:c r="F68" s="18" t="n">
        <x:v>0.39444444444444443</x:v>
      </x:c>
      <x:c r="G68" s="18" t="n">
        <x:v>0.7916666666666666</x:v>
      </x:c>
      <x:c r="H68" s="20" t="n">
        <x:v>1</x:v>
      </x:c>
      <x:c r="I68" s="21"/>
      <x:c r="J68" s="21"/>
      <x:c r="K68" s="21"/>
      <x:c r="L68" s="14"/>
      <x:c r="M68"/>
    </x:row>
    <x:row r="69">
      <x:c r="A69" s="16" t="n">
        <x:v>46337</x:v>
      </x:c>
      <x:c r="B69" t="str">
        <x:v>E008</x:v>
      </x:c>
      <x:c r="C69" t="str">
        <x:v>강수빈</x:v>
      </x:c>
      <x:c r="D69" t="str">
        <x:v>총무</x:v>
      </x:c>
      <x:c r="E69" t="str">
        <x:v>출근</x:v>
      </x:c>
      <x:c r="F69" s="18" t="n">
        <x:v>0.375</x:v>
      </x:c>
      <x:c r="G69" s="18" t="n">
        <x:v>0.75</x:v>
      </x:c>
      <x:c r="H69" s="20" t="n">
        <x:v>1</x:v>
      </x:c>
      <x:c r="I69" s="21"/>
      <x:c r="J69" s="21"/>
      <x:c r="K69" s="21"/>
      <x:c r="L69" s="14"/>
      <x:c r="M69"/>
    </x:row>
    <x:row r="70">
      <x:c r="A70" s="16" t="n">
        <x:v>46338</x:v>
      </x:c>
      <x:c r="B70" t="str">
        <x:v>E001</x:v>
      </x:c>
      <x:c r="C70" t="str">
        <x:v>김민수</x:v>
      </x:c>
      <x:c r="D70" t="str">
        <x:v>영업</x:v>
      </x:c>
      <x:c r="E70" t="str">
        <x:v>출근</x:v>
      </x:c>
      <x:c r="F70" s="18" t="n">
        <x:v>0.375</x:v>
      </x:c>
      <x:c r="G70" s="18" t="n">
        <x:v>0.75</x:v>
      </x:c>
      <x:c r="H70" s="20" t="n">
        <x:v>1</x:v>
      </x:c>
      <x:c r="I70" s="21"/>
      <x:c r="J70" s="21"/>
      <x:c r="K70" s="21"/>
      <x:c r="L70" s="14"/>
      <x:c r="M70"/>
    </x:row>
    <x:row r="71">
      <x:c r="A71" s="16" t="n">
        <x:v>46338</x:v>
      </x:c>
      <x:c r="B71" t="str">
        <x:v>E002</x:v>
      </x:c>
      <x:c r="C71" t="str">
        <x:v>이서연</x:v>
      </x:c>
      <x:c r="D71" t="str">
        <x:v>총무</x:v>
      </x:c>
      <x:c r="E71" t="str">
        <x:v>출근</x:v>
      </x:c>
      <x:c r="F71" s="18" t="n">
        <x:v>0.38819444444444445</x:v>
      </x:c>
      <x:c r="G71" s="18" t="n">
        <x:v>0.75</x:v>
      </x:c>
      <x:c r="H71" s="20" t="n">
        <x:v>1</x:v>
      </x:c>
      <x:c r="I71" s="21"/>
      <x:c r="J71" s="21"/>
      <x:c r="K71" s="21"/>
      <x:c r="L71" s="14"/>
      <x:c r="M71"/>
    </x:row>
    <x:row r="72">
      <x:c r="A72" s="16" t="n">
        <x:v>46338</x:v>
      </x:c>
      <x:c r="B72" t="str">
        <x:v>E003</x:v>
      </x:c>
      <x:c r="C72" t="str">
        <x:v>박준호</x:v>
      </x:c>
      <x:c r="D72" t="str">
        <x:v>물류</x:v>
      </x:c>
      <x:c r="E72" t="str">
        <x:v>출근</x:v>
      </x:c>
      <x:c r="F72" s="18" t="n">
        <x:v>0.375</x:v>
      </x:c>
      <x:c r="G72" s="18" t="n">
        <x:v>0.7916666666666666</x:v>
      </x:c>
      <x:c r="H72" s="20" t="n">
        <x:v>1</x:v>
      </x:c>
      <x:c r="I72" s="21"/>
      <x:c r="J72" s="21"/>
      <x:c r="K72" s="21"/>
      <x:c r="L72" s="14"/>
      <x:c r="M72"/>
    </x:row>
    <x:row r="73">
      <x:c r="A73" s="16" t="n">
        <x:v>46338</x:v>
      </x:c>
      <x:c r="B73" t="str">
        <x:v>E004</x:v>
      </x:c>
      <x:c r="C73" t="str">
        <x:v>최지은</x:v>
      </x:c>
      <x:c r="D73" t="str">
        <x:v>생산</x:v>
      </x:c>
      <x:c r="E73" t="str">
        <x:v>출근</x:v>
      </x:c>
      <x:c r="F73" s="18" t="n">
        <x:v>0.375</x:v>
      </x:c>
      <x:c r="G73" s="18" t="n">
        <x:v>0.75</x:v>
      </x:c>
      <x:c r="H73" s="20" t="n">
        <x:v>1</x:v>
      </x:c>
      <x:c r="I73" s="21"/>
      <x:c r="J73" s="21"/>
      <x:c r="K73" s="21"/>
      <x:c r="L73" s="14"/>
      <x:c r="M73"/>
    </x:row>
    <x:row r="74">
      <x:c r="A74" s="16" t="n">
        <x:v>46338</x:v>
      </x:c>
      <x:c r="B74" t="str">
        <x:v>E005</x:v>
      </x:c>
      <x:c r="C74" t="str">
        <x:v>정현우</x:v>
      </x:c>
      <x:c r="D74" t="str">
        <x:v>생산</x:v>
      </x:c>
      <x:c r="E74" t="str">
        <x:v>출근</x:v>
      </x:c>
      <x:c r="F74" s="18" t="n">
        <x:v>0.38819444444444445</x:v>
      </x:c>
      <x:c r="G74" s="18" t="n">
        <x:v>0.75</x:v>
      </x:c>
      <x:c r="H74" s="20" t="n">
        <x:v>1</x:v>
      </x:c>
      <x:c r="I74" s="21"/>
      <x:c r="J74" s="21"/>
      <x:c r="K74" s="21"/>
      <x:c r="L74" s="14"/>
      <x:c r="M74"/>
    </x:row>
    <x:row r="75">
      <x:c r="A75" s="16" t="n">
        <x:v>46338</x:v>
      </x:c>
      <x:c r="B75" t="str">
        <x:v>E006</x:v>
      </x:c>
      <x:c r="C75" t="str">
        <x:v>한유진</x:v>
      </x:c>
      <x:c r="D75" t="str">
        <x:v>영업</x:v>
      </x:c>
      <x:c r="E75" t="str">
        <x:v>출근</x:v>
      </x:c>
      <x:c r="F75" s="18" t="n">
        <x:v>0.375</x:v>
      </x:c>
      <x:c r="G75" s="18" t="n">
        <x:v>0.7708333333333334</x:v>
      </x:c>
      <x:c r="H75" s="20" t="n">
        <x:v>1</x:v>
      </x:c>
      <x:c r="I75" s="21"/>
      <x:c r="J75" s="21"/>
      <x:c r="K75" s="21"/>
      <x:c r="L75" s="14"/>
      <x:c r="M75"/>
    </x:row>
    <x:row r="76">
      <x:c r="A76" s="16" t="n">
        <x:v>46338</x:v>
      </x:c>
      <x:c r="B76" t="str">
        <x:v>E007</x:v>
      </x:c>
      <x:c r="C76" t="str">
        <x:v>오지훈</x:v>
      </x:c>
      <x:c r="D76" t="str">
        <x:v>물류</x:v>
      </x:c>
      <x:c r="E76" t="str">
        <x:v>출근</x:v>
      </x:c>
      <x:c r="F76" s="18" t="n">
        <x:v>0.375</x:v>
      </x:c>
      <x:c r="G76" s="18" t="n">
        <x:v>0.8125</x:v>
      </x:c>
      <x:c r="H76" s="20" t="n">
        <x:v>1</x:v>
      </x:c>
      <x:c r="I76" s="21"/>
      <x:c r="J76" s="21"/>
      <x:c r="K76" s="21"/>
      <x:c r="L76" s="14"/>
      <x:c r="M76"/>
    </x:row>
    <x:row r="77">
      <x:c r="A77" s="16" t="n">
        <x:v>46338</x:v>
      </x:c>
      <x:c r="B77" t="str">
        <x:v>E008</x:v>
      </x:c>
      <x:c r="C77" t="str">
        <x:v>강수빈</x:v>
      </x:c>
      <x:c r="D77" t="str">
        <x:v>총무</x:v>
      </x:c>
      <x:c r="E77" t="str">
        <x:v>출근</x:v>
      </x:c>
      <x:c r="F77" s="18" t="n">
        <x:v>0.38819444444444445</x:v>
      </x:c>
      <x:c r="G77" s="18" t="n">
        <x:v>0.75</x:v>
      </x:c>
      <x:c r="H77" s="20" t="n">
        <x:v>1</x:v>
      </x:c>
      <x:c r="I77" s="21"/>
      <x:c r="J77" s="21"/>
      <x:c r="K77" s="21"/>
      <x:c r="L77" s="14"/>
      <x:c r="M77"/>
    </x:row>
    <x:row r="78">
      <x:c r="A78" s="16" t="n">
        <x:v>46339</x:v>
      </x:c>
      <x:c r="B78" t="str">
        <x:v>E001</x:v>
      </x:c>
      <x:c r="C78" t="str">
        <x:v>김민수</x:v>
      </x:c>
      <x:c r="D78" t="str">
        <x:v>영업</x:v>
      </x:c>
      <x:c r="E78" t="str">
        <x:v>출근</x:v>
      </x:c>
      <x:c r="F78" s="18" t="n">
        <x:v>0.375</x:v>
      </x:c>
      <x:c r="G78" s="18" t="n">
        <x:v>0.75</x:v>
      </x:c>
      <x:c r="H78" s="20" t="n">
        <x:v>1</x:v>
      </x:c>
      <x:c r="I78" s="21"/>
      <x:c r="J78" s="21"/>
      <x:c r="K78" s="21"/>
      <x:c r="L78" s="14"/>
      <x:c r="M78"/>
    </x:row>
    <x:row r="79">
      <x:c r="A79" s="16" t="n">
        <x:v>46339</x:v>
      </x:c>
      <x:c r="B79" t="str">
        <x:v>E002</x:v>
      </x:c>
      <x:c r="C79" t="str">
        <x:v>이서연</x:v>
      </x:c>
      <x:c r="D79" t="str">
        <x:v>총무</x:v>
      </x:c>
      <x:c r="E79" t="str">
        <x:v>출근</x:v>
      </x:c>
      <x:c r="F79" s="18" t="n">
        <x:v>0.375</x:v>
      </x:c>
      <x:c r="G79" s="18" t="n">
        <x:v>0.7708333333333334</x:v>
      </x:c>
      <x:c r="H79" s="20" t="n">
        <x:v>1</x:v>
      </x:c>
      <x:c r="I79" s="21"/>
      <x:c r="J79" s="21"/>
      <x:c r="K79" s="21"/>
      <x:c r="L79" s="14"/>
      <x:c r="M79"/>
    </x:row>
    <x:row r="80">
      <x:c r="A80" s="16" t="n">
        <x:v>46339</x:v>
      </x:c>
      <x:c r="B80" t="str">
        <x:v>E003</x:v>
      </x:c>
      <x:c r="C80" t="str">
        <x:v>박준호</x:v>
      </x:c>
      <x:c r="D80" t="str">
        <x:v>물류</x:v>
      </x:c>
      <x:c r="E80" t="str">
        <x:v>출근</x:v>
      </x:c>
      <x:c r="F80" s="18" t="n">
        <x:v>0.38333333333333336</x:v>
      </x:c>
      <x:c r="G80" s="18" t="n">
        <x:v>0.8125</x:v>
      </x:c>
      <x:c r="H80" s="20" t="n">
        <x:v>1</x:v>
      </x:c>
      <x:c r="I80" s="21"/>
      <x:c r="J80" s="21"/>
      <x:c r="K80" s="21"/>
      <x:c r="L80" s="14"/>
      <x:c r="M80"/>
    </x:row>
    <x:row r="81">
      <x:c r="A81" s="16" t="n">
        <x:v>46339</x:v>
      </x:c>
      <x:c r="B81" t="str">
        <x:v>E004</x:v>
      </x:c>
      <x:c r="C81" t="str">
        <x:v>최지은</x:v>
      </x:c>
      <x:c r="D81" t="str">
        <x:v>생산</x:v>
      </x:c>
      <x:c r="E81" t="str">
        <x:v>출근</x:v>
      </x:c>
      <x:c r="F81" s="18" t="n">
        <x:v>0.375</x:v>
      </x:c>
      <x:c r="G81" s="18" t="n">
        <x:v>0.75</x:v>
      </x:c>
      <x:c r="H81" s="20" t="n">
        <x:v>1</x:v>
      </x:c>
      <x:c r="I81" s="21"/>
      <x:c r="J81" s="21"/>
      <x:c r="K81" s="21"/>
      <x:c r="L81" s="14"/>
      <x:c r="M81"/>
    </x:row>
    <x:row r="82">
      <x:c r="A82" s="16" t="n">
        <x:v>46339</x:v>
      </x:c>
      <x:c r="B82" t="str">
        <x:v>E005</x:v>
      </x:c>
      <x:c r="C82" t="str">
        <x:v>정현우</x:v>
      </x:c>
      <x:c r="D82" t="str">
        <x:v>생산</x:v>
      </x:c>
      <x:c r="E82" t="str">
        <x:v>출근</x:v>
      </x:c>
      <x:c r="F82" s="18" t="n">
        <x:v>0.375</x:v>
      </x:c>
      <x:c r="G82" s="18" t="n">
        <x:v>0.75</x:v>
      </x:c>
      <x:c r="H82" s="20" t="n">
        <x:v>1</x:v>
      </x:c>
      <x:c r="I82" s="21"/>
      <x:c r="J82" s="21"/>
      <x:c r="K82" s="21"/>
      <x:c r="L82" s="14"/>
      <x:c r="M82"/>
    </x:row>
    <x:row r="83">
      <x:c r="A83" s="16" t="n">
        <x:v>46339</x:v>
      </x:c>
      <x:c r="B83" t="str">
        <x:v>E006</x:v>
      </x:c>
      <x:c r="C83" t="str">
        <x:v>한유진</x:v>
      </x:c>
      <x:c r="D83" t="str">
        <x:v>영업</x:v>
      </x:c>
      <x:c r="E83" t="str">
        <x:v>출근</x:v>
      </x:c>
      <x:c r="F83" s="18" t="n">
        <x:v>0.38333333333333336</x:v>
      </x:c>
      <x:c r="G83" s="18" t="n">
        <x:v>0.7916666666666666</x:v>
      </x:c>
      <x:c r="H83" s="20" t="n">
        <x:v>1</x:v>
      </x:c>
      <x:c r="I83" s="21"/>
      <x:c r="J83" s="21"/>
      <x:c r="K83" s="21"/>
      <x:c r="L83" s="14"/>
      <x:c r="M83"/>
    </x:row>
    <x:row r="84">
      <x:c r="A84" s="16" t="n">
        <x:v>46339</x:v>
      </x:c>
      <x:c r="B84" t="str">
        <x:v>E007</x:v>
      </x:c>
      <x:c r="C84" t="str">
        <x:v>오지훈</x:v>
      </x:c>
      <x:c r="D84" t="str">
        <x:v>물류</x:v>
      </x:c>
      <x:c r="E84" t="str">
        <x:v>연차</x:v>
      </x:c>
      <x:c r="F84" s="18"/>
      <x:c r="G84" s="18"/>
      <x:c r="H84" s="20" t="n">
        <x:v>0</x:v>
      </x:c>
      <x:c r="I84" s="21"/>
      <x:c r="J84" s="21"/>
      <x:c r="K84" s="21"/>
      <x:c r="L84" s="14"/>
      <x:c r="M84"/>
    </x:row>
    <x:row r="85">
      <x:c r="A85" s="16" t="n">
        <x:v>46339</x:v>
      </x:c>
      <x:c r="B85" t="str">
        <x:v>E008</x:v>
      </x:c>
      <x:c r="C85" t="str">
        <x:v>강수빈</x:v>
      </x:c>
      <x:c r="D85" t="str">
        <x:v>총무</x:v>
      </x:c>
      <x:c r="E85" t="str">
        <x:v>출근</x:v>
      </x:c>
      <x:c r="F85" s="18" t="n">
        <x:v>0.375</x:v>
      </x:c>
      <x:c r="G85" s="18" t="n">
        <x:v>0.75</x:v>
      </x:c>
      <x:c r="H85" s="20" t="n">
        <x:v>1</x:v>
      </x:c>
      <x:c r="I85" s="21"/>
      <x:c r="J85" s="21"/>
      <x:c r="K85" s="21"/>
      <x:c r="L85" s="14"/>
      <x:c r="M85"/>
    </x:row>
    <x:row r="86">
      <x:c r="A86" s="16" t="n">
        <x:v>46342</x:v>
      </x:c>
      <x:c r="B86" t="str">
        <x:v>E001</x:v>
      </x:c>
      <x:c r="C86" t="str">
        <x:v>김민수</x:v>
      </x:c>
      <x:c r="D86" t="str">
        <x:v>영업</x:v>
      </x:c>
      <x:c r="E86" t="str">
        <x:v>출근</x:v>
      </x:c>
      <x:c r="F86" s="18" t="n">
        <x:v>0.37916666666666665</x:v>
      </x:c>
      <x:c r="G86" s="18" t="n">
        <x:v>0.75</x:v>
      </x:c>
      <x:c r="H86" s="20" t="n">
        <x:v>1</x:v>
      </x:c>
      <x:c r="I86" s="21"/>
      <x:c r="J86" s="21"/>
      <x:c r="K86" s="21"/>
      <x:c r="L86" s="14"/>
      <x:c r="M86"/>
    </x:row>
    <x:row r="87">
      <x:c r="A87" s="16" t="n">
        <x:v>46342</x:v>
      </x:c>
      <x:c r="B87" t="str">
        <x:v>E002</x:v>
      </x:c>
      <x:c r="C87" t="str">
        <x:v>이서연</x:v>
      </x:c>
      <x:c r="D87" t="str">
        <x:v>총무</x:v>
      </x:c>
      <x:c r="E87" t="str">
        <x:v>출근</x:v>
      </x:c>
      <x:c r="F87" s="18" t="n">
        <x:v>0.39444444444444443</x:v>
      </x:c>
      <x:c r="G87" s="18" t="n">
        <x:v>0.7916666666666666</x:v>
      </x:c>
      <x:c r="H87" s="20" t="n">
        <x:v>1</x:v>
      </x:c>
      <x:c r="I87" s="21"/>
      <x:c r="J87" s="21"/>
      <x:c r="K87" s="21"/>
      <x:c r="L87" s="14"/>
      <x:c r="M87"/>
    </x:row>
    <x:row r="88">
      <x:c r="A88" s="16" t="n">
        <x:v>46342</x:v>
      </x:c>
      <x:c r="B88" t="str">
        <x:v>E003</x:v>
      </x:c>
      <x:c r="C88" t="str">
        <x:v>박준호</x:v>
      </x:c>
      <x:c r="D88" t="str">
        <x:v>물류</x:v>
      </x:c>
      <x:c r="E88" t="str">
        <x:v>출근</x:v>
      </x:c>
      <x:c r="F88" s="18" t="n">
        <x:v>0.375</x:v>
      </x:c>
      <x:c r="G88" s="18" t="n">
        <x:v>0.75</x:v>
      </x:c>
      <x:c r="H88" s="20" t="n">
        <x:v>1</x:v>
      </x:c>
      <x:c r="I88" s="21"/>
      <x:c r="J88" s="21"/>
      <x:c r="K88" s="21"/>
      <x:c r="L88" s="14"/>
      <x:c r="M88"/>
    </x:row>
    <x:row r="89">
      <x:c r="A89" s="16" t="n">
        <x:v>46342</x:v>
      </x:c>
      <x:c r="B89" t="str">
        <x:v>E004</x:v>
      </x:c>
      <x:c r="C89" t="str">
        <x:v>최지은</x:v>
      </x:c>
      <x:c r="D89" t="str">
        <x:v>생산</x:v>
      </x:c>
      <x:c r="E89" t="str">
        <x:v>출근</x:v>
      </x:c>
      <x:c r="F89" s="18" t="n">
        <x:v>0.37916666666666665</x:v>
      </x:c>
      <x:c r="G89" s="18" t="n">
        <x:v>0.75</x:v>
      </x:c>
      <x:c r="H89" s="20" t="n">
        <x:v>1</x:v>
      </x:c>
      <x:c r="I89" s="21"/>
      <x:c r="J89" s="21"/>
      <x:c r="K89" s="21"/>
      <x:c r="L89" s="14"/>
      <x:c r="M89"/>
    </x:row>
    <x:row r="90">
      <x:c r="A90" s="16" t="n">
        <x:v>46342</x:v>
      </x:c>
      <x:c r="B90" t="str">
        <x:v>E005</x:v>
      </x:c>
      <x:c r="C90" t="str">
        <x:v>정현우</x:v>
      </x:c>
      <x:c r="D90" t="str">
        <x:v>생산</x:v>
      </x:c>
      <x:c r="E90" t="str">
        <x:v>출근</x:v>
      </x:c>
      <x:c r="F90" s="18" t="n">
        <x:v>0.39444444444444443</x:v>
      </x:c>
      <x:c r="G90" s="18" t="n">
        <x:v>0.7708333333333334</x:v>
      </x:c>
      <x:c r="H90" s="20" t="n">
        <x:v>1</x:v>
      </x:c>
      <x:c r="I90" s="21"/>
      <x:c r="J90" s="21"/>
      <x:c r="K90" s="21"/>
      <x:c r="L90" s="14"/>
      <x:c r="M90"/>
    </x:row>
    <x:row r="91">
      <x:c r="A91" s="16" t="n">
        <x:v>46342</x:v>
      </x:c>
      <x:c r="B91" t="str">
        <x:v>E006</x:v>
      </x:c>
      <x:c r="C91" t="str">
        <x:v>한유진</x:v>
      </x:c>
      <x:c r="D91" t="str">
        <x:v>영업</x:v>
      </x:c>
      <x:c r="E91" t="str">
        <x:v>출근</x:v>
      </x:c>
      <x:c r="F91" s="18" t="n">
        <x:v>0.375</x:v>
      </x:c>
      <x:c r="G91" s="18" t="n">
        <x:v>0.8125</x:v>
      </x:c>
      <x:c r="H91" s="20" t="n">
        <x:v>1</x:v>
      </x:c>
      <x:c r="I91" s="21"/>
      <x:c r="J91" s="21"/>
      <x:c r="K91" s="21"/>
      <x:c r="L91" s="14"/>
      <x:c r="M91"/>
    </x:row>
    <x:row r="92">
      <x:c r="A92" s="16" t="n">
        <x:v>46342</x:v>
      </x:c>
      <x:c r="B92" t="str">
        <x:v>E007</x:v>
      </x:c>
      <x:c r="C92" t="str">
        <x:v>오지훈</x:v>
      </x:c>
      <x:c r="D92" t="str">
        <x:v>물류</x:v>
      </x:c>
      <x:c r="E92" t="str">
        <x:v>출근</x:v>
      </x:c>
      <x:c r="F92" s="18" t="n">
        <x:v>0.37916666666666665</x:v>
      </x:c>
      <x:c r="G92" s="18" t="n">
        <x:v>0.75</x:v>
      </x:c>
      <x:c r="H92" s="20" t="n">
        <x:v>1</x:v>
      </x:c>
      <x:c r="I92" s="21"/>
      <x:c r="J92" s="21"/>
      <x:c r="K92" s="21"/>
      <x:c r="L92" s="14"/>
      <x:c r="M92"/>
    </x:row>
    <x:row r="93">
      <x:c r="A93" s="16" t="n">
        <x:v>46342</x:v>
      </x:c>
      <x:c r="B93" t="str">
        <x:v>E008</x:v>
      </x:c>
      <x:c r="C93" t="str">
        <x:v>강수빈</x:v>
      </x:c>
      <x:c r="D93" t="str">
        <x:v>총무</x:v>
      </x:c>
      <x:c r="E93" t="str">
        <x:v>출근</x:v>
      </x:c>
      <x:c r="F93" s="18" t="n">
        <x:v>0.39444444444444443</x:v>
      </x:c>
      <x:c r="G93" s="18" t="n">
        <x:v>0.75</x:v>
      </x:c>
      <x:c r="H93" s="20" t="n">
        <x:v>1</x:v>
      </x:c>
      <x:c r="I93" s="21"/>
      <x:c r="J93" s="21"/>
      <x:c r="K93" s="21"/>
      <x:c r="L93" s="14"/>
      <x:c r="M93"/>
    </x:row>
    <x:row r="94">
      <x:c r="A94" s="16" t="n">
        <x:v>46343</x:v>
      </x:c>
      <x:c r="B94" t="str">
        <x:v>E001</x:v>
      </x:c>
      <x:c r="C94" t="str">
        <x:v>김민수</x:v>
      </x:c>
      <x:c r="D94" t="str">
        <x:v>영업</x:v>
      </x:c>
      <x:c r="E94" t="str">
        <x:v>출근</x:v>
      </x:c>
      <x:c r="F94" s="18" t="n">
        <x:v>0.375</x:v>
      </x:c>
      <x:c r="G94" s="18" t="n">
        <x:v>0.7708333333333334</x:v>
      </x:c>
      <x:c r="H94" s="20" t="n">
        <x:v>1</x:v>
      </x:c>
      <x:c r="I94" s="21"/>
      <x:c r="J94" s="21"/>
      <x:c r="K94" s="21"/>
      <x:c r="L94" s="14"/>
      <x:c r="M94"/>
    </x:row>
    <x:row r="95">
      <x:c r="A95" s="16" t="n">
        <x:v>46343</x:v>
      </x:c>
      <x:c r="B95" t="str">
        <x:v>E002</x:v>
      </x:c>
      <x:c r="C95" t="str">
        <x:v>이서연</x:v>
      </x:c>
      <x:c r="D95" t="str">
        <x:v>총무</x:v>
      </x:c>
      <x:c r="E95" t="str">
        <x:v>출근</x:v>
      </x:c>
      <x:c r="F95" s="18" t="n">
        <x:v>0.375</x:v>
      </x:c>
      <x:c r="G95" s="18" t="n">
        <x:v>0.8125</x:v>
      </x:c>
      <x:c r="H95" s="20" t="n">
        <x:v>1</x:v>
      </x:c>
      <x:c r="I95" s="21"/>
      <x:c r="J95" s="21"/>
      <x:c r="K95" s="21"/>
      <x:c r="L95" s="14"/>
      <x:c r="M95"/>
    </x:row>
    <x:row r="96">
      <x:c r="A96" s="16" t="n">
        <x:v>46343</x:v>
      </x:c>
      <x:c r="B96" t="str">
        <x:v>E003</x:v>
      </x:c>
      <x:c r="C96" t="str">
        <x:v>박준호</x:v>
      </x:c>
      <x:c r="D96" t="str">
        <x:v>물류</x:v>
      </x:c>
      <x:c r="E96" t="str">
        <x:v>출근</x:v>
      </x:c>
      <x:c r="F96" s="18" t="n">
        <x:v>0.38819444444444445</x:v>
      </x:c>
      <x:c r="G96" s="18" t="n">
        <x:v>0.75</x:v>
      </x:c>
      <x:c r="H96" s="20" t="n">
        <x:v>1</x:v>
      </x:c>
      <x:c r="I96" s="21"/>
      <x:c r="J96" s="21"/>
      <x:c r="K96" s="21"/>
      <x:c r="L96" s="14"/>
      <x:c r="M96"/>
    </x:row>
    <x:row r="97">
      <x:c r="A97" s="16" t="n">
        <x:v>46343</x:v>
      </x:c>
      <x:c r="B97" t="str">
        <x:v>E004</x:v>
      </x:c>
      <x:c r="C97" t="str">
        <x:v>최지은</x:v>
      </x:c>
      <x:c r="D97" t="str">
        <x:v>생산</x:v>
      </x:c>
      <x:c r="E97" t="str">
        <x:v>출근</x:v>
      </x:c>
      <x:c r="F97" s="18" t="n">
        <x:v>0.375</x:v>
      </x:c>
      <x:c r="G97" s="18" t="n">
        <x:v>0.75</x:v>
      </x:c>
      <x:c r="H97" s="20" t="n">
        <x:v>1</x:v>
      </x:c>
      <x:c r="I97" s="21"/>
      <x:c r="J97" s="21"/>
      <x:c r="K97" s="21"/>
      <x:c r="L97" s="14"/>
      <x:c r="M97"/>
    </x:row>
    <x:row r="98">
      <x:c r="A98" s="16" t="n">
        <x:v>46343</x:v>
      </x:c>
      <x:c r="B98" t="str">
        <x:v>E005</x:v>
      </x:c>
      <x:c r="C98" t="str">
        <x:v>정현우</x:v>
      </x:c>
      <x:c r="D98" t="str">
        <x:v>생산</x:v>
      </x:c>
      <x:c r="E98" t="str">
        <x:v>출근</x:v>
      </x:c>
      <x:c r="F98" s="18" t="n">
        <x:v>0.375</x:v>
      </x:c>
      <x:c r="G98" s="18" t="n">
        <x:v>0.7916666666666666</x:v>
      </x:c>
      <x:c r="H98" s="20" t="n">
        <x:v>1</x:v>
      </x:c>
      <x:c r="I98" s="21"/>
      <x:c r="J98" s="21"/>
      <x:c r="K98" s="21"/>
      <x:c r="L98" s="14"/>
      <x:c r="M98"/>
    </x:row>
    <x:row r="99">
      <x:c r="A99" s="16" t="n">
        <x:v>46343</x:v>
      </x:c>
      <x:c r="B99" t="str">
        <x:v>E006</x:v>
      </x:c>
      <x:c r="C99" t="str">
        <x:v>한유진</x:v>
      </x:c>
      <x:c r="D99" t="str">
        <x:v>영업</x:v>
      </x:c>
      <x:c r="E99" t="str">
        <x:v>출근</x:v>
      </x:c>
      <x:c r="F99" s="18" t="n">
        <x:v>0.38819444444444445</x:v>
      </x:c>
      <x:c r="G99" s="18" t="n">
        <x:v>0.75</x:v>
      </x:c>
      <x:c r="H99" s="20" t="n">
        <x:v>1</x:v>
      </x:c>
      <x:c r="I99" s="21"/>
      <x:c r="J99" s="21"/>
      <x:c r="K99" s="21"/>
      <x:c r="L99" s="14"/>
      <x:c r="M99"/>
    </x:row>
    <x:row r="100">
      <x:c r="A100" s="16" t="n">
        <x:v>46343</x:v>
      </x:c>
      <x:c r="B100" t="str">
        <x:v>E007</x:v>
      </x:c>
      <x:c r="C100" t="str">
        <x:v>오지훈</x:v>
      </x:c>
      <x:c r="D100" t="str">
        <x:v>물류</x:v>
      </x:c>
      <x:c r="E100" t="str">
        <x:v>출근</x:v>
      </x:c>
      <x:c r="F100" s="18" t="n">
        <x:v>0.375</x:v>
      </x:c>
      <x:c r="G100" s="18" t="n">
        <x:v>0.75</x:v>
      </x:c>
      <x:c r="H100" s="20" t="n">
        <x:v>1</x:v>
      </x:c>
      <x:c r="I100" s="21"/>
      <x:c r="J100" s="21"/>
      <x:c r="K100" s="21"/>
      <x:c r="L100" s="14"/>
      <x:c r="M100"/>
    </x:row>
    <x:row r="101">
      <x:c r="A101" s="16" t="n">
        <x:v>46343</x:v>
      </x:c>
      <x:c r="B101" t="str">
        <x:v>E008</x:v>
      </x:c>
      <x:c r="C101" t="str">
        <x:v>강수빈</x:v>
      </x:c>
      <x:c r="D101" t="str">
        <x:v>총무</x:v>
      </x:c>
      <x:c r="E101" t="str">
        <x:v>출근</x:v>
      </x:c>
      <x:c r="F101" s="18" t="n">
        <x:v>0.375</x:v>
      </x:c>
      <x:c r="G101" s="18" t="n">
        <x:v>0.7708333333333334</x:v>
      </x:c>
      <x:c r="H101" s="20" t="n">
        <x:v>1</x:v>
      </x:c>
      <x:c r="I101" s="21"/>
      <x:c r="J101" s="21"/>
      <x:c r="K101" s="21"/>
      <x:c r="L101" s="14"/>
      <x:c r="M101"/>
    </x:row>
    <x:row r="102">
      <x:c r="A102" s="16" t="n">
        <x:v>46344</x:v>
      </x:c>
      <x:c r="B102" t="str">
        <x:v>E001</x:v>
      </x:c>
      <x:c r="C102" t="str">
        <x:v>김민수</x:v>
      </x:c>
      <x:c r="D102" t="str">
        <x:v>영업</x:v>
      </x:c>
      <x:c r="E102" t="str">
        <x:v>출근</x:v>
      </x:c>
      <x:c r="F102" s="18" t="n">
        <x:v>0.38333333333333336</x:v>
      </x:c>
      <x:c r="G102" s="18" t="n">
        <x:v>0.7916666666666666</x:v>
      </x:c>
      <x:c r="H102" s="20" t="n">
        <x:v>1</x:v>
      </x:c>
      <x:c r="I102" s="21"/>
      <x:c r="J102" s="21"/>
      <x:c r="K102" s="21"/>
      <x:c r="L102" s="14"/>
      <x:c r="M102"/>
    </x:row>
    <x:row r="103">
      <x:c r="A103" s="16" t="n">
        <x:v>46344</x:v>
      </x:c>
      <x:c r="B103" t="str">
        <x:v>E002</x:v>
      </x:c>
      <x:c r="C103" t="str">
        <x:v>이서연</x:v>
      </x:c>
      <x:c r="D103" t="str">
        <x:v>총무</x:v>
      </x:c>
      <x:c r="E103" t="str">
        <x:v>출근</x:v>
      </x:c>
      <x:c r="F103" s="18" t="n">
        <x:v>0.375</x:v>
      </x:c>
      <x:c r="G103" s="18" t="n">
        <x:v>0.75</x:v>
      </x:c>
      <x:c r="H103" s="20" t="n">
        <x:v>1</x:v>
      </x:c>
      <x:c r="I103" s="21"/>
      <x:c r="J103" s="21"/>
      <x:c r="K103" s="21"/>
      <x:c r="L103" s="14"/>
      <x:c r="M103"/>
    </x:row>
    <x:row r="104">
      <x:c r="A104" s="16" t="n">
        <x:v>46344</x:v>
      </x:c>
      <x:c r="B104" t="str">
        <x:v>E003</x:v>
      </x:c>
      <x:c r="C104" t="str">
        <x:v>박준호</x:v>
      </x:c>
      <x:c r="D104" t="str">
        <x:v>물류</x:v>
      </x:c>
      <x:c r="E104" t="str">
        <x:v>출근</x:v>
      </x:c>
      <x:c r="F104" s="18" t="n">
        <x:v>0.375</x:v>
      </x:c>
      <x:c r="G104" s="18" t="n">
        <x:v>0.75</x:v>
      </x:c>
      <x:c r="H104" s="20" t="n">
        <x:v>1</x:v>
      </x:c>
      <x:c r="I104" s="21"/>
      <x:c r="J104" s="21"/>
      <x:c r="K104" s="21"/>
      <x:c r="L104" s="14"/>
      <x:c r="M104"/>
    </x:row>
    <x:row r="105">
      <x:c r="A105" s="16" t="n">
        <x:v>46344</x:v>
      </x:c>
      <x:c r="B105" t="str">
        <x:v>E004</x:v>
      </x:c>
      <x:c r="C105" t="str">
        <x:v>최지은</x:v>
      </x:c>
      <x:c r="D105" t="str">
        <x:v>생산</x:v>
      </x:c>
      <x:c r="E105" t="str">
        <x:v>출근</x:v>
      </x:c>
      <x:c r="F105" s="18" t="n">
        <x:v>0.38333333333333336</x:v>
      </x:c>
      <x:c r="G105" s="18" t="n">
        <x:v>0.7708333333333334</x:v>
      </x:c>
      <x:c r="H105" s="20" t="n">
        <x:v>1</x:v>
      </x:c>
      <x:c r="I105" s="21"/>
      <x:c r="J105" s="21"/>
      <x:c r="K105" s="21"/>
      <x:c r="L105" s="14"/>
      <x:c r="M105"/>
    </x:row>
    <x:row r="106">
      <x:c r="A106" s="16" t="n">
        <x:v>46344</x:v>
      </x:c>
      <x:c r="B106" t="str">
        <x:v>E005</x:v>
      </x:c>
      <x:c r="C106" t="str">
        <x:v>정현우</x:v>
      </x:c>
      <x:c r="D106" t="str">
        <x:v>생산</x:v>
      </x:c>
      <x:c r="E106" t="str">
        <x:v>출근</x:v>
      </x:c>
      <x:c r="F106" s="18" t="n">
        <x:v>0.375</x:v>
      </x:c>
      <x:c r="G106" s="18" t="n">
        <x:v>0.8125</x:v>
      </x:c>
      <x:c r="H106" s="20" t="n">
        <x:v>1</x:v>
      </x:c>
      <x:c r="I106" s="21"/>
      <x:c r="J106" s="21"/>
      <x:c r="K106" s="21"/>
      <x:c r="L106" s="14"/>
      <x:c r="M106"/>
    </x:row>
    <x:row r="107">
      <x:c r="A107" s="16" t="n">
        <x:v>46344</x:v>
      </x:c>
      <x:c r="B107" t="str">
        <x:v>E006</x:v>
      </x:c>
      <x:c r="C107" t="str">
        <x:v>한유진</x:v>
      </x:c>
      <x:c r="D107" t="str">
        <x:v>영업</x:v>
      </x:c>
      <x:c r="E107" t="str">
        <x:v>출근</x:v>
      </x:c>
      <x:c r="F107" s="18" t="n">
        <x:v>0.375</x:v>
      </x:c>
      <x:c r="G107" s="18" t="n">
        <x:v>0.75</x:v>
      </x:c>
      <x:c r="H107" s="20" t="n">
        <x:v>1</x:v>
      </x:c>
      <x:c r="I107" s="21"/>
      <x:c r="J107" s="21"/>
      <x:c r="K107" s="21"/>
      <x:c r="L107" s="14"/>
      <x:c r="M107"/>
    </x:row>
    <x:row r="108">
      <x:c r="A108" s="16" t="n">
        <x:v>46344</x:v>
      </x:c>
      <x:c r="B108" t="str">
        <x:v>E007</x:v>
      </x:c>
      <x:c r="C108" t="str">
        <x:v>오지훈</x:v>
      </x:c>
      <x:c r="D108" t="str">
        <x:v>물류</x:v>
      </x:c>
      <x:c r="E108" t="str">
        <x:v>출근</x:v>
      </x:c>
      <x:c r="F108" s="18" t="n">
        <x:v>0.38333333333333336</x:v>
      </x:c>
      <x:c r="G108" s="18" t="n">
        <x:v>0.75</x:v>
      </x:c>
      <x:c r="H108" s="20" t="n">
        <x:v>1</x:v>
      </x:c>
      <x:c r="I108" s="21"/>
      <x:c r="J108" s="21"/>
      <x:c r="K108" s="21"/>
      <x:c r="L108" s="14"/>
      <x:c r="M108"/>
    </x:row>
    <x:row r="109">
      <x:c r="A109" s="16" t="n">
        <x:v>46344</x:v>
      </x:c>
      <x:c r="B109" t="str">
        <x:v>E008</x:v>
      </x:c>
      <x:c r="C109" t="str">
        <x:v>강수빈</x:v>
      </x:c>
      <x:c r="D109" t="str">
        <x:v>총무</x:v>
      </x:c>
      <x:c r="E109" t="str">
        <x:v>출근</x:v>
      </x:c>
      <x:c r="F109" s="18" t="n">
        <x:v>0.375</x:v>
      </x:c>
      <x:c r="G109" s="18" t="n">
        <x:v>0.7916666666666666</x:v>
      </x:c>
      <x:c r="H109" s="20" t="n">
        <x:v>1</x:v>
      </x:c>
      <x:c r="I109" s="21"/>
      <x:c r="J109" s="21"/>
      <x:c r="K109" s="21"/>
      <x:c r="L109" s="14"/>
      <x:c r="M109"/>
    </x:row>
    <x:row r="110">
      <x:c r="A110" s="16" t="n">
        <x:v>46345</x:v>
      </x:c>
      <x:c r="B110" t="str">
        <x:v>E001</x:v>
      </x:c>
      <x:c r="C110" t="str">
        <x:v>김민수</x:v>
      </x:c>
      <x:c r="D110" t="str">
        <x:v>영업</x:v>
      </x:c>
      <x:c r="E110" t="str">
        <x:v>출근</x:v>
      </x:c>
      <x:c r="F110" s="18" t="n">
        <x:v>0.375</x:v>
      </x:c>
      <x:c r="G110" s="18" t="n">
        <x:v>0.8125</x:v>
      </x:c>
      <x:c r="H110" s="20" t="n">
        <x:v>1</x:v>
      </x:c>
      <x:c r="I110" s="21"/>
      <x:c r="J110" s="21"/>
      <x:c r="K110" s="21"/>
      <x:c r="L110" s="14"/>
      <x:c r="M110"/>
    </x:row>
    <x:row r="111">
      <x:c r="A111" s="16" t="n">
        <x:v>46345</x:v>
      </x:c>
      <x:c r="B111" t="str">
        <x:v>E002</x:v>
      </x:c>
      <x:c r="C111" t="str">
        <x:v>이서연</x:v>
      </x:c>
      <x:c r="D111" t="str">
        <x:v>총무</x:v>
      </x:c>
      <x:c r="E111" t="str">
        <x:v>출근</x:v>
      </x:c>
      <x:c r="F111" s="18" t="n">
        <x:v>0.37916666666666665</x:v>
      </x:c>
      <x:c r="G111" s="18" t="n">
        <x:v>0.75</x:v>
      </x:c>
      <x:c r="H111" s="20" t="n">
        <x:v>1</x:v>
      </x:c>
      <x:c r="I111" s="21"/>
      <x:c r="J111" s="21"/>
      <x:c r="K111" s="21"/>
      <x:c r="L111" s="14"/>
      <x:c r="M111"/>
    </x:row>
    <x:row r="112">
      <x:c r="A112" s="16" t="n">
        <x:v>46345</x:v>
      </x:c>
      <x:c r="B112" t="str">
        <x:v>E003</x:v>
      </x:c>
      <x:c r="C112" t="str">
        <x:v>박준호</x:v>
      </x:c>
      <x:c r="D112" t="str">
        <x:v>물류</x:v>
      </x:c>
      <x:c r="E112" t="str">
        <x:v>출근</x:v>
      </x:c>
      <x:c r="F112" s="18" t="n">
        <x:v>0.39444444444444443</x:v>
      </x:c>
      <x:c r="G112" s="18" t="n">
        <x:v>0.75</x:v>
      </x:c>
      <x:c r="H112" s="20" t="n">
        <x:v>1</x:v>
      </x:c>
      <x:c r="I112" s="21"/>
      <x:c r="J112" s="21"/>
      <x:c r="K112" s="21"/>
      <x:c r="L112" s="14"/>
      <x:c r="M112"/>
    </x:row>
    <x:row r="113">
      <x:c r="A113" s="16" t="n">
        <x:v>46345</x:v>
      </x:c>
      <x:c r="B113" t="str">
        <x:v>E004</x:v>
      </x:c>
      <x:c r="C113" t="str">
        <x:v>최지은</x:v>
      </x:c>
      <x:c r="D113" t="str">
        <x:v>생산</x:v>
      </x:c>
      <x:c r="E113" t="str">
        <x:v>출근</x:v>
      </x:c>
      <x:c r="F113" s="18" t="n">
        <x:v>0.375</x:v>
      </x:c>
      <x:c r="G113" s="18" t="n">
        <x:v>0.7916666666666666</x:v>
      </x:c>
      <x:c r="H113" s="20" t="n">
        <x:v>1</x:v>
      </x:c>
      <x:c r="I113" s="21"/>
      <x:c r="J113" s="21"/>
      <x:c r="K113" s="21"/>
      <x:c r="L113" s="14"/>
      <x:c r="M113"/>
    </x:row>
    <x:row r="114">
      <x:c r="A114" s="16" t="n">
        <x:v>46345</x:v>
      </x:c>
      <x:c r="B114" t="str">
        <x:v>E005</x:v>
      </x:c>
      <x:c r="C114" t="str">
        <x:v>정현우</x:v>
      </x:c>
      <x:c r="D114" t="str">
        <x:v>생산</x:v>
      </x:c>
      <x:c r="E114" t="str">
        <x:v>출근</x:v>
      </x:c>
      <x:c r="F114" s="18" t="n">
        <x:v>0.37916666666666665</x:v>
      </x:c>
      <x:c r="G114" s="18" t="n">
        <x:v>0.75</x:v>
      </x:c>
      <x:c r="H114" s="20" t="n">
        <x:v>1</x:v>
      </x:c>
      <x:c r="I114" s="21"/>
      <x:c r="J114" s="21"/>
      <x:c r="K114" s="21"/>
      <x:c r="L114" s="14"/>
      <x:c r="M114"/>
    </x:row>
    <x:row r="115">
      <x:c r="A115" s="16" t="n">
        <x:v>46345</x:v>
      </x:c>
      <x:c r="B115" t="str">
        <x:v>E006</x:v>
      </x:c>
      <x:c r="C115" t="str">
        <x:v>한유진</x:v>
      </x:c>
      <x:c r="D115" t="str">
        <x:v>영업</x:v>
      </x:c>
      <x:c r="E115" t="str">
        <x:v>출근</x:v>
      </x:c>
      <x:c r="F115" s="18" t="n">
        <x:v>0.39444444444444443</x:v>
      </x:c>
      <x:c r="G115" s="18" t="n">
        <x:v>0.75</x:v>
      </x:c>
      <x:c r="H115" s="20" t="n">
        <x:v>1</x:v>
      </x:c>
      <x:c r="I115" s="21"/>
      <x:c r="J115" s="21"/>
      <x:c r="K115" s="21"/>
      <x:c r="L115" s="14"/>
      <x:c r="M115"/>
    </x:row>
    <x:row r="116">
      <x:c r="A116" s="16" t="n">
        <x:v>46345</x:v>
      </x:c>
      <x:c r="B116" t="str">
        <x:v>E007</x:v>
      </x:c>
      <x:c r="C116" t="str">
        <x:v>오지훈</x:v>
      </x:c>
      <x:c r="D116" t="str">
        <x:v>물류</x:v>
      </x:c>
      <x:c r="E116" t="str">
        <x:v>출근</x:v>
      </x:c>
      <x:c r="F116" s="18" t="n">
        <x:v>0.375</x:v>
      </x:c>
      <x:c r="G116" s="18" t="n">
        <x:v>0.7708333333333334</x:v>
      </x:c>
      <x:c r="H116" s="20" t="n">
        <x:v>1</x:v>
      </x:c>
      <x:c r="I116" s="21"/>
      <x:c r="J116" s="21"/>
      <x:c r="K116" s="21"/>
      <x:c r="L116" s="14"/>
      <x:c r="M116"/>
    </x:row>
    <x:row r="117">
      <x:c r="A117" s="16" t="n">
        <x:v>46345</x:v>
      </x:c>
      <x:c r="B117" t="str">
        <x:v>E008</x:v>
      </x:c>
      <x:c r="C117" t="str">
        <x:v>강수빈</x:v>
      </x:c>
      <x:c r="D117" t="str">
        <x:v>총무</x:v>
      </x:c>
      <x:c r="E117" t="str">
        <x:v>출근</x:v>
      </x:c>
      <x:c r="F117" s="18" t="n">
        <x:v>0.37916666666666665</x:v>
      </x:c>
      <x:c r="G117" s="18" t="n">
        <x:v>0.8125</x:v>
      </x:c>
      <x:c r="H117" s="20" t="n">
        <x:v>1</x:v>
      </x:c>
      <x:c r="I117" s="21"/>
      <x:c r="J117" s="21"/>
      <x:c r="K117" s="21"/>
      <x:c r="L117" s="14"/>
      <x:c r="M117"/>
    </x:row>
    <x:row r="118">
      <x:c r="A118" s="16" t="n">
        <x:v>46346</x:v>
      </x:c>
      <x:c r="B118" t="str">
        <x:v>E001</x:v>
      </x:c>
      <x:c r="C118" t="str">
        <x:v>김민수</x:v>
      </x:c>
      <x:c r="D118" t="str">
        <x:v>영업</x:v>
      </x:c>
      <x:c r="E118" t="str">
        <x:v>출근</x:v>
      </x:c>
      <x:c r="F118" s="18" t="n">
        <x:v>0.38819444444444445</x:v>
      </x:c>
      <x:c r="G118" s="18" t="n">
        <x:v>0.75</x:v>
      </x:c>
      <x:c r="H118" s="20" t="n">
        <x:v>1</x:v>
      </x:c>
      <x:c r="I118" s="21"/>
      <x:c r="J118" s="21"/>
      <x:c r="K118" s="21"/>
      <x:c r="L118" s="14"/>
      <x:c r="M118"/>
    </x:row>
    <x:row r="119">
      <x:c r="A119" s="16" t="n">
        <x:v>46346</x:v>
      </x:c>
      <x:c r="B119" t="str">
        <x:v>E002</x:v>
      </x:c>
      <x:c r="C119" t="str">
        <x:v>이서연</x:v>
      </x:c>
      <x:c r="D119" t="str">
        <x:v>총무</x:v>
      </x:c>
      <x:c r="E119" t="str">
        <x:v>출근</x:v>
      </x:c>
      <x:c r="F119" s="18" t="n">
        <x:v>0.375</x:v>
      </x:c>
      <x:c r="G119" s="18" t="n">
        <x:v>0.75</x:v>
      </x:c>
      <x:c r="H119" s="20" t="n">
        <x:v>1</x:v>
      </x:c>
      <x:c r="I119" s="21"/>
      <x:c r="J119" s="21"/>
      <x:c r="K119" s="21"/>
      <x:c r="L119" s="14"/>
      <x:c r="M119"/>
    </x:row>
    <x:row r="120">
      <x:c r="A120" s="16" t="n">
        <x:v>46346</x:v>
      </x:c>
      <x:c r="B120" t="str">
        <x:v>E003</x:v>
      </x:c>
      <x:c r="C120" t="str">
        <x:v>박준호</x:v>
      </x:c>
      <x:c r="D120" t="str">
        <x:v>물류</x:v>
      </x:c>
      <x:c r="E120" t="str">
        <x:v>출근</x:v>
      </x:c>
      <x:c r="F120" s="18" t="n">
        <x:v>0.375</x:v>
      </x:c>
      <x:c r="G120" s="18" t="n">
        <x:v>0.7708333333333334</x:v>
      </x:c>
      <x:c r="H120" s="20" t="n">
        <x:v>1</x:v>
      </x:c>
      <x:c r="I120" s="21"/>
      <x:c r="J120" s="21"/>
      <x:c r="K120" s="21"/>
      <x:c r="L120" s="14"/>
      <x:c r="M120"/>
    </x:row>
    <x:row r="121">
      <x:c r="A121" s="16" t="n">
        <x:v>46346</x:v>
      </x:c>
      <x:c r="B121" t="str">
        <x:v>E004</x:v>
      </x:c>
      <x:c r="C121" t="str">
        <x:v>최지은</x:v>
      </x:c>
      <x:c r="D121" t="str">
        <x:v>생산</x:v>
      </x:c>
      <x:c r="E121" t="str">
        <x:v>출근</x:v>
      </x:c>
      <x:c r="F121" s="18" t="n">
        <x:v>0.38819444444444445</x:v>
      </x:c>
      <x:c r="G121" s="18" t="n">
        <x:v>0.8125</x:v>
      </x:c>
      <x:c r="H121" s="20" t="n">
        <x:v>1</x:v>
      </x:c>
      <x:c r="I121" s="21"/>
      <x:c r="J121" s="21"/>
      <x:c r="K121" s="21"/>
      <x:c r="L121" s="14"/>
      <x:c r="M121"/>
    </x:row>
    <x:row r="122">
      <x:c r="A122" s="16" t="n">
        <x:v>46346</x:v>
      </x:c>
      <x:c r="B122" t="str">
        <x:v>E005</x:v>
      </x:c>
      <x:c r="C122" t="str">
        <x:v>정현우</x:v>
      </x:c>
      <x:c r="D122" t="str">
        <x:v>생산</x:v>
      </x:c>
      <x:c r="E122" t="str">
        <x:v>출근</x:v>
      </x:c>
      <x:c r="F122" s="18" t="n">
        <x:v>0.375</x:v>
      </x:c>
      <x:c r="G122" s="18" t="n">
        <x:v>0.75</x:v>
      </x:c>
      <x:c r="H122" s="20" t="n">
        <x:v>1</x:v>
      </x:c>
      <x:c r="I122" s="21"/>
      <x:c r="J122" s="21"/>
      <x:c r="K122" s="21"/>
      <x:c r="L122" s="14"/>
      <x:c r="M122"/>
    </x:row>
    <x:row r="123">
      <x:c r="A123" s="16" t="n">
        <x:v>46346</x:v>
      </x:c>
      <x:c r="B123" t="str">
        <x:v>E006</x:v>
      </x:c>
      <x:c r="C123" t="str">
        <x:v>한유진</x:v>
      </x:c>
      <x:c r="D123" t="str">
        <x:v>영업</x:v>
      </x:c>
      <x:c r="E123" t="str">
        <x:v>출근</x:v>
      </x:c>
      <x:c r="F123" s="18" t="n">
        <x:v>0.375</x:v>
      </x:c>
      <x:c r="G123" s="18" t="n">
        <x:v>0.75</x:v>
      </x:c>
      <x:c r="H123" s="20" t="n">
        <x:v>1</x:v>
      </x:c>
      <x:c r="I123" s="21"/>
      <x:c r="J123" s="21"/>
      <x:c r="K123" s="21"/>
      <x:c r="L123" s="14"/>
      <x:c r="M123"/>
    </x:row>
    <x:row r="124">
      <x:c r="A124" s="16" t="n">
        <x:v>46346</x:v>
      </x:c>
      <x:c r="B124" t="str">
        <x:v>E007</x:v>
      </x:c>
      <x:c r="C124" t="str">
        <x:v>오지훈</x:v>
      </x:c>
      <x:c r="D124" t="str">
        <x:v>물류</x:v>
      </x:c>
      <x:c r="E124" t="str">
        <x:v>출근</x:v>
      </x:c>
      <x:c r="F124" s="18" t="n">
        <x:v>0.38819444444444445</x:v>
      </x:c>
      <x:c r="G124" s="18" t="n">
        <x:v>0.7916666666666666</x:v>
      </x:c>
      <x:c r="H124" s="20" t="n">
        <x:v>1</x:v>
      </x:c>
      <x:c r="I124" s="21"/>
      <x:c r="J124" s="21"/>
      <x:c r="K124" s="21"/>
      <x:c r="L124" s="14"/>
      <x:c r="M124"/>
    </x:row>
    <x:row r="125">
      <x:c r="A125" s="16" t="n">
        <x:v>46346</x:v>
      </x:c>
      <x:c r="B125" t="str">
        <x:v>E008</x:v>
      </x:c>
      <x:c r="C125" t="str">
        <x:v>강수빈</x:v>
      </x:c>
      <x:c r="D125" t="str">
        <x:v>총무</x:v>
      </x:c>
      <x:c r="E125" t="str">
        <x:v>출근</x:v>
      </x:c>
      <x:c r="F125" s="18" t="n">
        <x:v>0.375</x:v>
      </x:c>
      <x:c r="G125" s="18" t="n">
        <x:v>0.75</x:v>
      </x:c>
      <x:c r="H125" s="20" t="n">
        <x:v>1</x:v>
      </x:c>
      <x:c r="I125" s="21"/>
      <x:c r="J125" s="21"/>
      <x:c r="K125" s="21"/>
      <x:c r="L125" s="14"/>
      <x:c r="M125"/>
    </x:row>
    <x:row r="126">
      <x:c r="A126" s="16" t="n">
        <x:v>46349</x:v>
      </x:c>
      <x:c r="B126" t="str">
        <x:v>E001</x:v>
      </x:c>
      <x:c r="C126" t="str">
        <x:v>김민수</x:v>
      </x:c>
      <x:c r="D126" t="str">
        <x:v>영업</x:v>
      </x:c>
      <x:c r="E126" t="str">
        <x:v>출근</x:v>
      </x:c>
      <x:c r="F126" s="18" t="n">
        <x:v>0.375</x:v>
      </x:c>
      <x:c r="G126" s="18" t="n">
        <x:v>0.75</x:v>
      </x:c>
      <x:c r="H126" s="20" t="n">
        <x:v>1</x:v>
      </x:c>
      <x:c r="I126" s="21"/>
      <x:c r="J126" s="21"/>
      <x:c r="K126" s="21"/>
      <x:c r="L126" s="14"/>
      <x:c r="M126"/>
    </x:row>
    <x:row r="127">
      <x:c r="A127" s="16" t="n">
        <x:v>46349</x:v>
      </x:c>
      <x:c r="B127" t="str">
        <x:v>E002</x:v>
      </x:c>
      <x:c r="C127" t="str">
        <x:v>이서연</x:v>
      </x:c>
      <x:c r="D127" t="str">
        <x:v>총무</x:v>
      </x:c>
      <x:c r="E127" t="str">
        <x:v>출근</x:v>
      </x:c>
      <x:c r="F127" s="18" t="n">
        <x:v>0.38333333333333336</x:v>
      </x:c>
      <x:c r="G127" s="18" t="n">
        <x:v>0.75</x:v>
      </x:c>
      <x:c r="H127" s="20" t="n">
        <x:v>1</x:v>
      </x:c>
      <x:c r="I127" s="21"/>
      <x:c r="J127" s="21"/>
      <x:c r="K127" s="21"/>
      <x:c r="L127" s="14"/>
      <x:c r="M127"/>
    </x:row>
    <x:row r="128">
      <x:c r="A128" s="16" t="n">
        <x:v>46349</x:v>
      </x:c>
      <x:c r="B128" t="str">
        <x:v>E003</x:v>
      </x:c>
      <x:c r="C128" t="str">
        <x:v>박준호</x:v>
      </x:c>
      <x:c r="D128" t="str">
        <x:v>물류</x:v>
      </x:c>
      <x:c r="E128" t="str">
        <x:v>출근</x:v>
      </x:c>
      <x:c r="F128" s="18" t="n">
        <x:v>0.375</x:v>
      </x:c>
      <x:c r="G128" s="18" t="n">
        <x:v>0.7916666666666666</x:v>
      </x:c>
      <x:c r="H128" s="20" t="n">
        <x:v>1</x:v>
      </x:c>
      <x:c r="I128" s="21"/>
      <x:c r="J128" s="21"/>
      <x:c r="K128" s="21"/>
      <x:c r="L128" s="14"/>
      <x:c r="M128"/>
    </x:row>
    <x:row r="129">
      <x:c r="A129" s="16" t="n">
        <x:v>46349</x:v>
      </x:c>
      <x:c r="B129" t="str">
        <x:v>E004</x:v>
      </x:c>
      <x:c r="C129" t="str">
        <x:v>최지은</x:v>
      </x:c>
      <x:c r="D129" t="str">
        <x:v>생산</x:v>
      </x:c>
      <x:c r="E129" t="str">
        <x:v>출근</x:v>
      </x:c>
      <x:c r="F129" s="18" t="n">
        <x:v>0.375</x:v>
      </x:c>
      <x:c r="G129" s="18" t="n">
        <x:v>0.75</x:v>
      </x:c>
      <x:c r="H129" s="20" t="n">
        <x:v>1</x:v>
      </x:c>
      <x:c r="I129" s="21"/>
      <x:c r="J129" s="21"/>
      <x:c r="K129" s="21"/>
      <x:c r="L129" s="14"/>
      <x:c r="M129"/>
    </x:row>
    <x:row r="130">
      <x:c r="A130" s="16" t="n">
        <x:v>46349</x:v>
      </x:c>
      <x:c r="B130" t="str">
        <x:v>E005</x:v>
      </x:c>
      <x:c r="C130" t="str">
        <x:v>정현우</x:v>
      </x:c>
      <x:c r="D130" t="str">
        <x:v>생산</x:v>
      </x:c>
      <x:c r="E130" t="str">
        <x:v>출근</x:v>
      </x:c>
      <x:c r="F130" s="18" t="n">
        <x:v>0.38333333333333336</x:v>
      </x:c>
      <x:c r="G130" s="18" t="n">
        <x:v>0.75</x:v>
      </x:c>
      <x:c r="H130" s="20" t="n">
        <x:v>1</x:v>
      </x:c>
      <x:c r="I130" s="21"/>
      <x:c r="J130" s="21"/>
      <x:c r="K130" s="21"/>
      <x:c r="L130" s="14"/>
      <x:c r="M130"/>
    </x:row>
    <x:row r="131">
      <x:c r="A131" s="16" t="n">
        <x:v>46349</x:v>
      </x:c>
      <x:c r="B131" t="str">
        <x:v>E006</x:v>
      </x:c>
      <x:c r="C131" t="str">
        <x:v>한유진</x:v>
      </x:c>
      <x:c r="D131" t="str">
        <x:v>영업</x:v>
      </x:c>
      <x:c r="E131" t="str">
        <x:v>출근</x:v>
      </x:c>
      <x:c r="F131" s="18" t="n">
        <x:v>0.375</x:v>
      </x:c>
      <x:c r="G131" s="18" t="n">
        <x:v>0.7708333333333334</x:v>
      </x:c>
      <x:c r="H131" s="20" t="n">
        <x:v>1</x:v>
      </x:c>
      <x:c r="I131" s="21"/>
      <x:c r="J131" s="21"/>
      <x:c r="K131" s="21"/>
      <x:c r="L131" s="14"/>
      <x:c r="M131"/>
    </x:row>
    <x:row r="132">
      <x:c r="A132" s="16" t="n">
        <x:v>46349</x:v>
      </x:c>
      <x:c r="B132" t="str">
        <x:v>E007</x:v>
      </x:c>
      <x:c r="C132" t="str">
        <x:v>오지훈</x:v>
      </x:c>
      <x:c r="D132" t="str">
        <x:v>물류</x:v>
      </x:c>
      <x:c r="E132" t="str">
        <x:v>출근</x:v>
      </x:c>
      <x:c r="F132" s="18" t="n">
        <x:v>0.375</x:v>
      </x:c>
      <x:c r="G132" s="18" t="n">
        <x:v>0.8125</x:v>
      </x:c>
      <x:c r="H132" s="20" t="n">
        <x:v>1</x:v>
      </x:c>
      <x:c r="I132" s="21"/>
      <x:c r="J132" s="21"/>
      <x:c r="K132" s="21"/>
      <x:c r="L132" s="14"/>
      <x:c r="M132"/>
    </x:row>
    <x:row r="133">
      <x:c r="A133" s="16" t="n">
        <x:v>46349</x:v>
      </x:c>
      <x:c r="B133" t="str">
        <x:v>E008</x:v>
      </x:c>
      <x:c r="C133" t="str">
        <x:v>강수빈</x:v>
      </x:c>
      <x:c r="D133" t="str">
        <x:v>총무</x:v>
      </x:c>
      <x:c r="E133" t="str">
        <x:v>출근</x:v>
      </x:c>
      <x:c r="F133" s="18" t="n">
        <x:v>0.38333333333333336</x:v>
      </x:c>
      <x:c r="G133" s="18" t="n">
        <x:v>0.75</x:v>
      </x:c>
      <x:c r="H133" s="20" t="n">
        <x:v>1</x:v>
      </x:c>
      <x:c r="I133" s="21"/>
      <x:c r="J133" s="21"/>
      <x:c r="K133" s="21"/>
      <x:c r="L133" s="14"/>
      <x:c r="M133"/>
    </x:row>
    <x:row r="134">
      <x:c r="A134" s="16" t="n">
        <x:v>46350</x:v>
      </x:c>
      <x:c r="B134" t="str">
        <x:v>E001</x:v>
      </x:c>
      <x:c r="C134" t="str">
        <x:v>김민수</x:v>
      </x:c>
      <x:c r="D134" t="str">
        <x:v>영업</x:v>
      </x:c>
      <x:c r="E134" t="str">
        <x:v>출근</x:v>
      </x:c>
      <x:c r="F134" s="18" t="n">
        <x:v>0.39444444444444443</x:v>
      </x:c>
      <x:c r="G134" s="18" t="n">
        <x:v>0.75</x:v>
      </x:c>
      <x:c r="H134" s="20" t="n">
        <x:v>1</x:v>
      </x:c>
      <x:c r="I134" s="21"/>
      <x:c r="J134" s="21"/>
      <x:c r="K134" s="21"/>
      <x:c r="L134" s="14"/>
      <x:c r="M134"/>
    </x:row>
    <x:row r="135">
      <x:c r="A135" s="16" t="n">
        <x:v>46350</x:v>
      </x:c>
      <x:c r="B135" t="str">
        <x:v>E002</x:v>
      </x:c>
      <x:c r="C135" t="str">
        <x:v>이서연</x:v>
      </x:c>
      <x:c r="D135" t="str">
        <x:v>총무</x:v>
      </x:c>
      <x:c r="E135" t="str">
        <x:v>출근</x:v>
      </x:c>
      <x:c r="F135" s="18" t="n">
        <x:v>0.375</x:v>
      </x:c>
      <x:c r="G135" s="18" t="n">
        <x:v>0.7708333333333334</x:v>
      </x:c>
      <x:c r="H135" s="20" t="n">
        <x:v>1</x:v>
      </x:c>
      <x:c r="I135" s="21"/>
      <x:c r="J135" s="21"/>
      <x:c r="K135" s="21"/>
      <x:c r="L135" s="14"/>
      <x:c r="M135"/>
    </x:row>
    <x:row r="136">
      <x:c r="A136" s="16" t="n">
        <x:v>46350</x:v>
      </x:c>
      <x:c r="B136" t="str">
        <x:v>E003</x:v>
      </x:c>
      <x:c r="C136" t="str">
        <x:v>박준호</x:v>
      </x:c>
      <x:c r="D136" t="str">
        <x:v>물류</x:v>
      </x:c>
      <x:c r="E136" t="str">
        <x:v>출근</x:v>
      </x:c>
      <x:c r="F136" s="18" t="n">
        <x:v>0.37916666666666665</x:v>
      </x:c>
      <x:c r="G136" s="18" t="n">
        <x:v>0.8125</x:v>
      </x:c>
      <x:c r="H136" s="20" t="n">
        <x:v>1</x:v>
      </x:c>
      <x:c r="I136" s="21"/>
      <x:c r="J136" s="21"/>
      <x:c r="K136" s="21"/>
      <x:c r="L136" s="14"/>
      <x:c r="M136"/>
    </x:row>
    <x:row r="137">
      <x:c r="A137" s="16" t="n">
        <x:v>46350</x:v>
      </x:c>
      <x:c r="B137" t="str">
        <x:v>E004</x:v>
      </x:c>
      <x:c r="C137" t="str">
        <x:v>최지은</x:v>
      </x:c>
      <x:c r="D137" t="str">
        <x:v>생산</x:v>
      </x:c>
      <x:c r="E137" t="str">
        <x:v>출근</x:v>
      </x:c>
      <x:c r="F137" s="18" t="n">
        <x:v>0.39444444444444443</x:v>
      </x:c>
      <x:c r="G137" s="18" t="n">
        <x:v>0.75</x:v>
      </x:c>
      <x:c r="H137" s="20" t="n">
        <x:v>1</x:v>
      </x:c>
      <x:c r="I137" s="21"/>
      <x:c r="J137" s="21"/>
      <x:c r="K137" s="21"/>
      <x:c r="L137" s="14"/>
      <x:c r="M137"/>
    </x:row>
    <x:row r="138">
      <x:c r="A138" s="16" t="n">
        <x:v>46350</x:v>
      </x:c>
      <x:c r="B138" t="str">
        <x:v>E005</x:v>
      </x:c>
      <x:c r="C138" t="str">
        <x:v>정현우</x:v>
      </x:c>
      <x:c r="D138" t="str">
        <x:v>생산</x:v>
      </x:c>
      <x:c r="E138" t="str">
        <x:v>출근</x:v>
      </x:c>
      <x:c r="F138" s="18" t="n">
        <x:v>0.375</x:v>
      </x:c>
      <x:c r="G138" s="18" t="n">
        <x:v>0.75</x:v>
      </x:c>
      <x:c r="H138" s="20" t="n">
        <x:v>1</x:v>
      </x:c>
      <x:c r="I138" s="21"/>
      <x:c r="J138" s="21"/>
      <x:c r="K138" s="21"/>
      <x:c r="L138" s="14"/>
      <x:c r="M138"/>
    </x:row>
    <x:row r="139">
      <x:c r="A139" s="16" t="n">
        <x:v>46350</x:v>
      </x:c>
      <x:c r="B139" t="str">
        <x:v>E006</x:v>
      </x:c>
      <x:c r="C139" t="str">
        <x:v>한유진</x:v>
      </x:c>
      <x:c r="D139" t="str">
        <x:v>영업</x:v>
      </x:c>
      <x:c r="E139" t="str">
        <x:v>출근</x:v>
      </x:c>
      <x:c r="F139" s="18" t="n">
        <x:v>0.37916666666666665</x:v>
      </x:c>
      <x:c r="G139" s="18" t="n">
        <x:v>0.7916666666666666</x:v>
      </x:c>
      <x:c r="H139" s="20" t="n">
        <x:v>1</x:v>
      </x:c>
      <x:c r="I139" s="21"/>
      <x:c r="J139" s="21"/>
      <x:c r="K139" s="21"/>
      <x:c r="L139" s="14"/>
      <x:c r="M139"/>
    </x:row>
    <x:row r="140">
      <x:c r="A140" s="16" t="n">
        <x:v>46350</x:v>
      </x:c>
      <x:c r="B140" t="str">
        <x:v>E007</x:v>
      </x:c>
      <x:c r="C140" t="str">
        <x:v>오지훈</x:v>
      </x:c>
      <x:c r="D140" t="str">
        <x:v>물류</x:v>
      </x:c>
      <x:c r="E140" t="str">
        <x:v>출근</x:v>
      </x:c>
      <x:c r="F140" s="18" t="n">
        <x:v>0.39444444444444443</x:v>
      </x:c>
      <x:c r="G140" s="18" t="n">
        <x:v>0.75</x:v>
      </x:c>
      <x:c r="H140" s="20" t="n">
        <x:v>1</x:v>
      </x:c>
      <x:c r="I140" s="21"/>
      <x:c r="J140" s="21"/>
      <x:c r="K140" s="21"/>
      <x:c r="L140" s="14"/>
      <x:c r="M140"/>
    </x:row>
    <x:row r="141">
      <x:c r="A141" s="16" t="n">
        <x:v>46350</x:v>
      </x:c>
      <x:c r="B141" t="str">
        <x:v>E008</x:v>
      </x:c>
      <x:c r="C141" t="str">
        <x:v>강수빈</x:v>
      </x:c>
      <x:c r="D141" t="str">
        <x:v>총무</x:v>
      </x:c>
      <x:c r="E141" t="str">
        <x:v>출근</x:v>
      </x:c>
      <x:c r="F141" s="18" t="n">
        <x:v>0.375</x:v>
      </x:c>
      <x:c r="G141" s="18" t="n">
        <x:v>0.75</x:v>
      </x:c>
      <x:c r="H141" s="20" t="n">
        <x:v>1</x:v>
      </x:c>
      <x:c r="I141" s="21"/>
      <x:c r="J141" s="21"/>
      <x:c r="K141" s="21"/>
      <x:c r="L141" s="14"/>
      <x:c r="M141"/>
    </x:row>
    <x:row r="142">
      <x:c r="A142" s="16" t="n">
        <x:v>46351</x:v>
      </x:c>
      <x:c r="B142" t="str">
        <x:v>E001</x:v>
      </x:c>
      <x:c r="C142" t="str">
        <x:v>김민수</x:v>
      </x:c>
      <x:c r="D142" t="str">
        <x:v>영업</x:v>
      </x:c>
      <x:c r="E142" t="str">
        <x:v>출근</x:v>
      </x:c>
      <x:c r="F142" s="18" t="n">
        <x:v>0.375</x:v>
      </x:c>
      <x:c r="G142" s="18" t="n">
        <x:v>0.75</x:v>
      </x:c>
      <x:c r="H142" s="20" t="n">
        <x:v>1</x:v>
      </x:c>
      <x:c r="I142" s="21"/>
      <x:c r="J142" s="21"/>
      <x:c r="K142" s="21"/>
      <x:c r="L142" s="14"/>
      <x:c r="M142"/>
    </x:row>
    <x:row r="143">
      <x:c r="A143" s="16" t="n">
        <x:v>46351</x:v>
      </x:c>
      <x:c r="B143" t="str">
        <x:v>E002</x:v>
      </x:c>
      <x:c r="C143" t="str">
        <x:v>이서연</x:v>
      </x:c>
      <x:c r="D143" t="str">
        <x:v>총무</x:v>
      </x:c>
      <x:c r="E143" t="str">
        <x:v>출근</x:v>
      </x:c>
      <x:c r="F143" s="18" t="n">
        <x:v>0.38819444444444445</x:v>
      </x:c>
      <x:c r="G143" s="18" t="n">
        <x:v>0.7916666666666666</x:v>
      </x:c>
      <x:c r="H143" s="20" t="n">
        <x:v>1</x:v>
      </x:c>
      <x:c r="I143" s="21"/>
      <x:c r="J143" s="21"/>
      <x:c r="K143" s="21"/>
      <x:c r="L143" s="14"/>
      <x:c r="M143"/>
    </x:row>
    <x:row r="144">
      <x:c r="A144" s="16" t="n">
        <x:v>46351</x:v>
      </x:c>
      <x:c r="B144" t="str">
        <x:v>E003</x:v>
      </x:c>
      <x:c r="C144" t="str">
        <x:v>박준호</x:v>
      </x:c>
      <x:c r="D144" t="str">
        <x:v>물류</x:v>
      </x:c>
      <x:c r="E144" t="str">
        <x:v>출근</x:v>
      </x:c>
      <x:c r="F144" s="18" t="n">
        <x:v>0.375</x:v>
      </x:c>
      <x:c r="G144" s="18" t="n">
        <x:v>0.75</x:v>
      </x:c>
      <x:c r="H144" s="20" t="n">
        <x:v>1</x:v>
      </x:c>
      <x:c r="I144" s="21"/>
      <x:c r="J144" s="21"/>
      <x:c r="K144" s="21"/>
      <x:c r="L144" s="14"/>
      <x:c r="M144"/>
    </x:row>
    <x:row r="145">
      <x:c r="A145" s="16" t="n">
        <x:v>46351</x:v>
      </x:c>
      <x:c r="B145" t="str">
        <x:v>E004</x:v>
      </x:c>
      <x:c r="C145" t="str">
        <x:v>최지은</x:v>
      </x:c>
      <x:c r="D145" t="str">
        <x:v>생산</x:v>
      </x:c>
      <x:c r="E145" t="str">
        <x:v>출근</x:v>
      </x:c>
      <x:c r="F145" s="18" t="n">
        <x:v>0.375</x:v>
      </x:c>
      <x:c r="G145" s="18" t="n">
        <x:v>0.75</x:v>
      </x:c>
      <x:c r="H145" s="20" t="n">
        <x:v>1</x:v>
      </x:c>
      <x:c r="I145" s="21"/>
      <x:c r="J145" s="21"/>
      <x:c r="K145" s="21"/>
      <x:c r="L145" s="14"/>
      <x:c r="M145"/>
    </x:row>
    <x:row r="146">
      <x:c r="A146" s="16" t="n">
        <x:v>46351</x:v>
      </x:c>
      <x:c r="B146" t="str">
        <x:v>E005</x:v>
      </x:c>
      <x:c r="C146" t="str">
        <x:v>정현우</x:v>
      </x:c>
      <x:c r="D146" t="str">
        <x:v>생산</x:v>
      </x:c>
      <x:c r="E146" t="str">
        <x:v>출근</x:v>
      </x:c>
      <x:c r="F146" s="18" t="n">
        <x:v>0.38819444444444445</x:v>
      </x:c>
      <x:c r="G146" s="18" t="n">
        <x:v>0.7708333333333334</x:v>
      </x:c>
      <x:c r="H146" s="20" t="n">
        <x:v>1</x:v>
      </x:c>
      <x:c r="I146" s="21"/>
      <x:c r="J146" s="21"/>
      <x:c r="K146" s="21"/>
      <x:c r="L146" s="14"/>
      <x:c r="M146"/>
    </x:row>
    <x:row r="147">
      <x:c r="A147" s="16" t="n">
        <x:v>46351</x:v>
      </x:c>
      <x:c r="B147" t="str">
        <x:v>E006</x:v>
      </x:c>
      <x:c r="C147" t="str">
        <x:v>한유진</x:v>
      </x:c>
      <x:c r="D147" t="str">
        <x:v>영업</x:v>
      </x:c>
      <x:c r="E147" t="str">
        <x:v>출근</x:v>
      </x:c>
      <x:c r="F147" s="18" t="n">
        <x:v>0.375</x:v>
      </x:c>
      <x:c r="G147" s="18" t="n">
        <x:v>0.8125</x:v>
      </x:c>
      <x:c r="H147" s="20" t="n">
        <x:v>1</x:v>
      </x:c>
      <x:c r="I147" s="21"/>
      <x:c r="J147" s="21"/>
      <x:c r="K147" s="21"/>
      <x:c r="L147" s="14"/>
      <x:c r="M147"/>
    </x:row>
    <x:row r="148">
      <x:c r="A148" s="16" t="n">
        <x:v>46351</x:v>
      </x:c>
      <x:c r="B148" t="str">
        <x:v>E007</x:v>
      </x:c>
      <x:c r="C148" t="str">
        <x:v>오지훈</x:v>
      </x:c>
      <x:c r="D148" t="str">
        <x:v>물류</x:v>
      </x:c>
      <x:c r="E148" t="str">
        <x:v>출근</x:v>
      </x:c>
      <x:c r="F148" s="18" t="n">
        <x:v>0.375</x:v>
      </x:c>
      <x:c r="G148" s="18" t="n">
        <x:v>0.75</x:v>
      </x:c>
      <x:c r="H148" s="20" t="n">
        <x:v>1</x:v>
      </x:c>
      <x:c r="I148" s="21"/>
      <x:c r="J148" s="21"/>
      <x:c r="K148" s="21"/>
      <x:c r="L148" s="14"/>
      <x:c r="M148"/>
    </x:row>
    <x:row r="149">
      <x:c r="A149" s="16" t="n">
        <x:v>46351</x:v>
      </x:c>
      <x:c r="B149" t="str">
        <x:v>E008</x:v>
      </x:c>
      <x:c r="C149" t="str">
        <x:v>강수빈</x:v>
      </x:c>
      <x:c r="D149" t="str">
        <x:v>총무</x:v>
      </x:c>
      <x:c r="E149" t="str">
        <x:v>출근</x:v>
      </x:c>
      <x:c r="F149" s="18" t="n">
        <x:v>0.38819444444444445</x:v>
      </x:c>
      <x:c r="G149" s="18" t="n">
        <x:v>0.75</x:v>
      </x:c>
      <x:c r="H149" s="20" t="n">
        <x:v>1</x:v>
      </x:c>
      <x:c r="I149" s="21"/>
      <x:c r="J149" s="21"/>
      <x:c r="K149" s="21"/>
      <x:c r="L149" s="14"/>
      <x:c r="M149"/>
    </x:row>
    <x:row r="150">
      <x:c r="A150" s="16" t="n">
        <x:v>46352</x:v>
      </x:c>
      <x:c r="B150" t="str">
        <x:v>E001</x:v>
      </x:c>
      <x:c r="C150" t="str">
        <x:v>김민수</x:v>
      </x:c>
      <x:c r="D150" t="str">
        <x:v>영업</x:v>
      </x:c>
      <x:c r="E150" t="str">
        <x:v>출근</x:v>
      </x:c>
      <x:c r="F150" s="18" t="n">
        <x:v>0.375</x:v>
      </x:c>
      <x:c r="G150" s="18" t="n">
        <x:v>0.7708333333333334</x:v>
      </x:c>
      <x:c r="H150" s="20" t="n">
        <x:v>1</x:v>
      </x:c>
      <x:c r="I150" s="21"/>
      <x:c r="J150" s="21"/>
      <x:c r="K150" s="21"/>
      <x:c r="L150" s="14"/>
      <x:c r="M150"/>
    </x:row>
    <x:row r="151">
      <x:c r="A151" s="16" t="n">
        <x:v>46352</x:v>
      </x:c>
      <x:c r="B151" t="str">
        <x:v>E002</x:v>
      </x:c>
      <x:c r="C151" t="str">
        <x:v>이서연</x:v>
      </x:c>
      <x:c r="D151" t="str">
        <x:v>총무</x:v>
      </x:c>
      <x:c r="E151" t="str">
        <x:v>출근</x:v>
      </x:c>
      <x:c r="F151" s="18" t="n">
        <x:v>0.375</x:v>
      </x:c>
      <x:c r="G151" s="18" t="n">
        <x:v>0.8125</x:v>
      </x:c>
      <x:c r="H151" s="20" t="n">
        <x:v>1</x:v>
      </x:c>
      <x:c r="I151" s="21"/>
      <x:c r="J151" s="21"/>
      <x:c r="K151" s="21"/>
      <x:c r="L151" s="14"/>
      <x:c r="M151"/>
    </x:row>
    <x:row r="152">
      <x:c r="A152" s="16" t="n">
        <x:v>46352</x:v>
      </x:c>
      <x:c r="B152" t="str">
        <x:v>E003</x:v>
      </x:c>
      <x:c r="C152" t="str">
        <x:v>박준호</x:v>
      </x:c>
      <x:c r="D152" t="str">
        <x:v>물류</x:v>
      </x:c>
      <x:c r="E152" t="str">
        <x:v>출근</x:v>
      </x:c>
      <x:c r="F152" s="18" t="n">
        <x:v>0.38333333333333336</x:v>
      </x:c>
      <x:c r="G152" s="18" t="n">
        <x:v>0.75</x:v>
      </x:c>
      <x:c r="H152" s="20" t="n">
        <x:v>1</x:v>
      </x:c>
      <x:c r="I152" s="21"/>
      <x:c r="J152" s="21"/>
      <x:c r="K152" s="21"/>
      <x:c r="L152" s="14"/>
      <x:c r="M152"/>
    </x:row>
    <x:row r="153">
      <x:c r="A153" s="16" t="n">
        <x:v>46352</x:v>
      </x:c>
      <x:c r="B153" t="str">
        <x:v>E004</x:v>
      </x:c>
      <x:c r="C153" t="str">
        <x:v>최지은</x:v>
      </x:c>
      <x:c r="D153" t="str">
        <x:v>생산</x:v>
      </x:c>
      <x:c r="E153" t="str">
        <x:v>출근</x:v>
      </x:c>
      <x:c r="F153" s="18" t="n">
        <x:v>0.375</x:v>
      </x:c>
      <x:c r="G153" s="18" t="n">
        <x:v>0.75</x:v>
      </x:c>
      <x:c r="H153" s="20" t="n">
        <x:v>1</x:v>
      </x:c>
      <x:c r="I153" s="21"/>
      <x:c r="J153" s="21"/>
      <x:c r="K153" s="21"/>
      <x:c r="L153" s="14"/>
      <x:c r="M153"/>
    </x:row>
    <x:row r="154">
      <x:c r="A154" s="16" t="n">
        <x:v>46352</x:v>
      </x:c>
      <x:c r="B154" t="str">
        <x:v>E005</x:v>
      </x:c>
      <x:c r="C154" t="str">
        <x:v>정현우</x:v>
      </x:c>
      <x:c r="D154" t="str">
        <x:v>생산</x:v>
      </x:c>
      <x:c r="E154" t="str">
        <x:v>출근</x:v>
      </x:c>
      <x:c r="F154" s="18" t="n">
        <x:v>0.375</x:v>
      </x:c>
      <x:c r="G154" s="18" t="n">
        <x:v>0.7916666666666666</x:v>
      </x:c>
      <x:c r="H154" s="20" t="n">
        <x:v>1</x:v>
      </x:c>
      <x:c r="I154" s="21"/>
      <x:c r="J154" s="21"/>
      <x:c r="K154" s="21"/>
      <x:c r="L154" s="14"/>
      <x:c r="M154"/>
    </x:row>
    <x:row r="155">
      <x:c r="A155" s="16" t="n">
        <x:v>46352</x:v>
      </x:c>
      <x:c r="B155" t="str">
        <x:v>E006</x:v>
      </x:c>
      <x:c r="C155" t="str">
        <x:v>한유진</x:v>
      </x:c>
      <x:c r="D155" t="str">
        <x:v>영업</x:v>
      </x:c>
      <x:c r="E155" t="str">
        <x:v>출근</x:v>
      </x:c>
      <x:c r="F155" s="18" t="n">
        <x:v>0.38333333333333336</x:v>
      </x:c>
      <x:c r="G155" s="18" t="n">
        <x:v>0.75</x:v>
      </x:c>
      <x:c r="H155" s="20" t="n">
        <x:v>1</x:v>
      </x:c>
      <x:c r="I155" s="21"/>
      <x:c r="J155" s="21"/>
      <x:c r="K155" s="21"/>
      <x:c r="L155" s="14"/>
      <x:c r="M155"/>
    </x:row>
    <x:row r="156">
      <x:c r="A156" s="16" t="n">
        <x:v>46352</x:v>
      </x:c>
      <x:c r="B156" t="str">
        <x:v>E007</x:v>
      </x:c>
      <x:c r="C156" t="str">
        <x:v>오지훈</x:v>
      </x:c>
      <x:c r="D156" t="str">
        <x:v>물류</x:v>
      </x:c>
      <x:c r="E156" t="str">
        <x:v>출근</x:v>
      </x:c>
      <x:c r="F156" s="18" t="n">
        <x:v>0.375</x:v>
      </x:c>
      <x:c r="G156" s="18" t="n">
        <x:v>0.75</x:v>
      </x:c>
      <x:c r="H156" s="20" t="n">
        <x:v>1</x:v>
      </x:c>
      <x:c r="I156" s="21"/>
      <x:c r="J156" s="21"/>
      <x:c r="K156" s="21"/>
      <x:c r="L156" s="14"/>
      <x:c r="M156"/>
    </x:row>
    <x:row r="157">
      <x:c r="A157" s="16" t="n">
        <x:v>46352</x:v>
      </x:c>
      <x:c r="B157" t="str">
        <x:v>E008</x:v>
      </x:c>
      <x:c r="C157" t="str">
        <x:v>강수빈</x:v>
      </x:c>
      <x:c r="D157" t="str">
        <x:v>총무</x:v>
      </x:c>
      <x:c r="E157" t="str">
        <x:v>출근</x:v>
      </x:c>
      <x:c r="F157" s="18" t="n">
        <x:v>0.375</x:v>
      </x:c>
      <x:c r="G157" s="18" t="n">
        <x:v>0.7708333333333334</x:v>
      </x:c>
      <x:c r="H157" s="20" t="n">
        <x:v>1</x:v>
      </x:c>
      <x:c r="I157" s="21"/>
      <x:c r="J157" s="21"/>
      <x:c r="K157" s="21"/>
      <x:c r="L157" s="14"/>
      <x:c r="M157"/>
    </x:row>
    <x:row r="158">
      <x:c r="A158" s="16" t="n">
        <x:v>46353</x:v>
      </x:c>
      <x:c r="B158" t="str">
        <x:v>E001</x:v>
      </x:c>
      <x:c r="C158" t="str">
        <x:v>김민수</x:v>
      </x:c>
      <x:c r="D158" t="str">
        <x:v>영업</x:v>
      </x:c>
      <x:c r="E158" t="str">
        <x:v>출근</x:v>
      </x:c>
      <x:c r="F158" s="18" t="n">
        <x:v>0.37916666666666665</x:v>
      </x:c>
      <x:c r="G158" s="18" t="n">
        <x:v>0.7916666666666666</x:v>
      </x:c>
      <x:c r="H158" s="20" t="n">
        <x:v>1</x:v>
      </x:c>
      <x:c r="I158" s="21"/>
      <x:c r="J158" s="21"/>
      <x:c r="K158" s="21"/>
      <x:c r="L158" s="14"/>
      <x:c r="M158"/>
    </x:row>
    <x:row r="159">
      <x:c r="A159" s="16" t="n">
        <x:v>46353</x:v>
      </x:c>
      <x:c r="B159" t="str">
        <x:v>E002</x:v>
      </x:c>
      <x:c r="C159" t="str">
        <x:v>이서연</x:v>
      </x:c>
      <x:c r="D159" t="str">
        <x:v>총무</x:v>
      </x:c>
      <x:c r="E159" t="str">
        <x:v>출근</x:v>
      </x:c>
      <x:c r="F159" s="18" t="n">
        <x:v>0.39444444444444443</x:v>
      </x:c>
      <x:c r="G159" s="18" t="n">
        <x:v>0.75</x:v>
      </x:c>
      <x:c r="H159" s="20" t="n">
        <x:v>1</x:v>
      </x:c>
      <x:c r="I159" s="21"/>
      <x:c r="J159" s="21"/>
      <x:c r="K159" s="21"/>
      <x:c r="L159" s="14"/>
      <x:c r="M159"/>
    </x:row>
    <x:row r="160">
      <x:c r="A160" s="16" t="n">
        <x:v>46353</x:v>
      </x:c>
      <x:c r="B160" t="str">
        <x:v>E003</x:v>
      </x:c>
      <x:c r="C160" t="str">
        <x:v>박준호</x:v>
      </x:c>
      <x:c r="D160" t="str">
        <x:v>물류</x:v>
      </x:c>
      <x:c r="E160" t="str">
        <x:v>출근</x:v>
      </x:c>
      <x:c r="F160" s="18" t="n">
        <x:v>0.375</x:v>
      </x:c>
      <x:c r="G160" s="18" t="n">
        <x:v>0.75</x:v>
      </x:c>
      <x:c r="H160" s="20" t="n">
        <x:v>1</x:v>
      </x:c>
      <x:c r="I160" s="21"/>
      <x:c r="J160" s="21"/>
      <x:c r="K160" s="21"/>
      <x:c r="L160" s="14"/>
      <x:c r="M160"/>
    </x:row>
    <x:row r="161">
      <x:c r="A161" s="16" t="n">
        <x:v>46353</x:v>
      </x:c>
      <x:c r="B161" t="str">
        <x:v>E004</x:v>
      </x:c>
      <x:c r="C161" t="str">
        <x:v>최지은</x:v>
      </x:c>
      <x:c r="D161" t="str">
        <x:v>생산</x:v>
      </x:c>
      <x:c r="E161" t="str">
        <x:v>출근</x:v>
      </x:c>
      <x:c r="F161" s="18" t="n">
        <x:v>0.37916666666666665</x:v>
      </x:c>
      <x:c r="G161" s="18" t="n">
        <x:v>0.7708333333333334</x:v>
      </x:c>
      <x:c r="H161" s="20" t="n">
        <x:v>1</x:v>
      </x:c>
      <x:c r="I161" s="21"/>
      <x:c r="J161" s="21"/>
      <x:c r="K161" s="21"/>
      <x:c r="L161" s="14"/>
      <x:c r="M161"/>
    </x:row>
    <x:row r="162">
      <x:c r="A162" s="16" t="n">
        <x:v>46353</x:v>
      </x:c>
      <x:c r="B162" t="str">
        <x:v>E005</x:v>
      </x:c>
      <x:c r="C162" t="str">
        <x:v>정현우</x:v>
      </x:c>
      <x:c r="D162" t="str">
        <x:v>생산</x:v>
      </x:c>
      <x:c r="E162" t="str">
        <x:v>출근</x:v>
      </x:c>
      <x:c r="F162" s="18" t="n">
        <x:v>0.39444444444444443</x:v>
      </x:c>
      <x:c r="G162" s="18" t="n">
        <x:v>0.8125</x:v>
      </x:c>
      <x:c r="H162" s="20" t="n">
        <x:v>1</x:v>
      </x:c>
      <x:c r="I162" s="21"/>
      <x:c r="J162" s="21"/>
      <x:c r="K162" s="21"/>
      <x:c r="L162" s="14"/>
      <x:c r="M162"/>
    </x:row>
    <x:row r="163">
      <x:c r="A163" s="16" t="n">
        <x:v>46353</x:v>
      </x:c>
      <x:c r="B163" t="str">
        <x:v>E006</x:v>
      </x:c>
      <x:c r="C163" t="str">
        <x:v>한유진</x:v>
      </x:c>
      <x:c r="D163" t="str">
        <x:v>영업</x:v>
      </x:c>
      <x:c r="E163" t="str">
        <x:v>출근</x:v>
      </x:c>
      <x:c r="F163" s="18" t="n">
        <x:v>0.375</x:v>
      </x:c>
      <x:c r="G163" s="18" t="n">
        <x:v>0.75</x:v>
      </x:c>
      <x:c r="H163" s="20" t="n">
        <x:v>1</x:v>
      </x:c>
      <x:c r="I163" s="21"/>
      <x:c r="J163" s="21"/>
      <x:c r="K163" s="21"/>
      <x:c r="L163" s="14"/>
      <x:c r="M163"/>
    </x:row>
    <x:row r="164">
      <x:c r="A164" s="16" t="n">
        <x:v>46353</x:v>
      </x:c>
      <x:c r="B164" t="str">
        <x:v>E007</x:v>
      </x:c>
      <x:c r="C164" t="str">
        <x:v>오지훈</x:v>
      </x:c>
      <x:c r="D164" t="str">
        <x:v>물류</x:v>
      </x:c>
      <x:c r="E164" t="str">
        <x:v>출근</x:v>
      </x:c>
      <x:c r="F164" s="18" t="n">
        <x:v>0.37916666666666665</x:v>
      </x:c>
      <x:c r="G164" s="18" t="n">
        <x:v>0.75</x:v>
      </x:c>
      <x:c r="H164" s="20" t="n">
        <x:v>1</x:v>
      </x:c>
      <x:c r="I164" s="21"/>
      <x:c r="J164" s="21"/>
      <x:c r="K164" s="21"/>
      <x:c r="L164" s="14"/>
      <x:c r="M164"/>
    </x:row>
    <x:row r="165">
      <x:c r="A165" s="16" t="n">
        <x:v>46353</x:v>
      </x:c>
      <x:c r="B165" t="str">
        <x:v>E008</x:v>
      </x:c>
      <x:c r="C165" t="str">
        <x:v>강수빈</x:v>
      </x:c>
      <x:c r="D165" t="str">
        <x:v>총무</x:v>
      </x:c>
      <x:c r="E165" t="str">
        <x:v>출근</x:v>
      </x:c>
      <x:c r="F165" s="18" t="n">
        <x:v>0.39444444444444443</x:v>
      </x:c>
      <x:c r="G165" s="18" t="n">
        <x:v>0.7916666666666666</x:v>
      </x:c>
      <x:c r="H165" s="20" t="n">
        <x:v>1</x:v>
      </x:c>
      <x:c r="I165" s="21"/>
      <x:c r="J165" s="21"/>
      <x:c r="K165" s="21"/>
      <x:c r="L165" s="14"/>
      <x:c r="M165"/>
    </x:row>
    <x:row r="166">
      <x:c r="A166" s="16" t="n">
        <x:v>46356</x:v>
      </x:c>
      <x:c r="B166" t="str">
        <x:v>E001</x:v>
      </x:c>
      <x:c r="C166" t="str">
        <x:v>김민수</x:v>
      </x:c>
      <x:c r="D166" t="str">
        <x:v>영업</x:v>
      </x:c>
      <x:c r="E166" t="str">
        <x:v>출근</x:v>
      </x:c>
      <x:c r="F166" s="18" t="n">
        <x:v>0.375</x:v>
      </x:c>
      <x:c r="G166" s="18" t="n">
        <x:v>0.8125</x:v>
      </x:c>
      <x:c r="H166" s="20" t="n">
        <x:v>1</x:v>
      </x:c>
      <x:c r="I166" s="21"/>
      <x:c r="J166" s="21"/>
      <x:c r="K166" s="21"/>
      <x:c r="L166" s="14"/>
      <x:c r="M166"/>
    </x:row>
    <x:row r="167">
      <x:c r="A167" s="16" t="n">
        <x:v>46356</x:v>
      </x:c>
      <x:c r="B167" t="str">
        <x:v>E002</x:v>
      </x:c>
      <x:c r="C167" t="str">
        <x:v>이서연</x:v>
      </x:c>
      <x:c r="D167" t="str">
        <x:v>총무</x:v>
      </x:c>
      <x:c r="E167" t="str">
        <x:v>출근</x:v>
      </x:c>
      <x:c r="F167" s="18" t="n">
        <x:v>0.375</x:v>
      </x:c>
      <x:c r="G167" s="18" t="n">
        <x:v>0.75</x:v>
      </x:c>
      <x:c r="H167" s="20" t="n">
        <x:v>1</x:v>
      </x:c>
      <x:c r="I167" s="21"/>
      <x:c r="J167" s="21"/>
      <x:c r="K167" s="21"/>
      <x:c r="L167" s="14"/>
      <x:c r="M167"/>
    </x:row>
    <x:row r="168">
      <x:c r="A168" s="16" t="n">
        <x:v>46356</x:v>
      </x:c>
      <x:c r="B168" t="str">
        <x:v>E003</x:v>
      </x:c>
      <x:c r="C168" t="str">
        <x:v>박준호</x:v>
      </x:c>
      <x:c r="D168" t="str">
        <x:v>물류</x:v>
      </x:c>
      <x:c r="E168" t="str">
        <x:v>출근</x:v>
      </x:c>
      <x:c r="F168" s="18" t="n">
        <x:v>0.38819444444444445</x:v>
      </x:c>
      <x:c r="G168" s="18" t="n">
        <x:v>0.75</x:v>
      </x:c>
      <x:c r="H168" s="20" t="n">
        <x:v>1</x:v>
      </x:c>
      <x:c r="I168" s="21"/>
      <x:c r="J168" s="21"/>
      <x:c r="K168" s="21"/>
      <x:c r="L168" s="14"/>
      <x:c r="M168"/>
    </x:row>
    <x:row r="169">
      <x:c r="A169" s="16" t="n">
        <x:v>46356</x:v>
      </x:c>
      <x:c r="B169" t="str">
        <x:v>E004</x:v>
      </x:c>
      <x:c r="C169" t="str">
        <x:v>최지은</x:v>
      </x:c>
      <x:c r="D169" t="str">
        <x:v>생산</x:v>
      </x:c>
      <x:c r="E169" t="str">
        <x:v>출근</x:v>
      </x:c>
      <x:c r="F169" s="18" t="n">
        <x:v>0.375</x:v>
      </x:c>
      <x:c r="G169" s="18" t="n">
        <x:v>0.7916666666666666</x:v>
      </x:c>
      <x:c r="H169" s="20" t="n">
        <x:v>1</x:v>
      </x:c>
      <x:c r="I169" s="21"/>
      <x:c r="J169" s="21"/>
      <x:c r="K169" s="21"/>
      <x:c r="L169" s="14"/>
      <x:c r="M169"/>
    </x:row>
    <x:row r="170">
      <x:c r="A170" s="16" t="n">
        <x:v>46356</x:v>
      </x:c>
      <x:c r="B170" t="str">
        <x:v>E005</x:v>
      </x:c>
      <x:c r="C170" t="str">
        <x:v>정현우</x:v>
      </x:c>
      <x:c r="D170" t="str">
        <x:v>생산</x:v>
      </x:c>
      <x:c r="E170" t="str">
        <x:v>출근</x:v>
      </x:c>
      <x:c r="F170" s="18" t="n">
        <x:v>0.375</x:v>
      </x:c>
      <x:c r="G170" s="18" t="n">
        <x:v>0.75</x:v>
      </x:c>
      <x:c r="H170" s="20" t="n">
        <x:v>1</x:v>
      </x:c>
      <x:c r="I170" s="21"/>
      <x:c r="J170" s="21"/>
      <x:c r="K170" s="21"/>
      <x:c r="L170" s="14"/>
      <x:c r="M170"/>
    </x:row>
    <x:row r="171">
      <x:c r="A171" s="16" t="n">
        <x:v>46356</x:v>
      </x:c>
      <x:c r="B171" t="str">
        <x:v>E006</x:v>
      </x:c>
      <x:c r="C171" t="str">
        <x:v>한유진</x:v>
      </x:c>
      <x:c r="D171" t="str">
        <x:v>영업</x:v>
      </x:c>
      <x:c r="E171" t="str">
        <x:v>출근</x:v>
      </x:c>
      <x:c r="F171" s="18" t="n">
        <x:v>0.38819444444444445</x:v>
      </x:c>
      <x:c r="G171" s="18" t="n">
        <x:v>0.75</x:v>
      </x:c>
      <x:c r="H171" s="20" t="n">
        <x:v>1</x:v>
      </x:c>
      <x:c r="I171" s="21"/>
      <x:c r="J171" s="21"/>
      <x:c r="K171" s="21"/>
      <x:c r="L171" s="14"/>
      <x:c r="M171"/>
    </x:row>
    <x:row r="172">
      <x:c r="A172" s="16" t="n">
        <x:v>46356</x:v>
      </x:c>
      <x:c r="B172" t="str">
        <x:v>E007</x:v>
      </x:c>
      <x:c r="C172" t="str">
        <x:v>오지훈</x:v>
      </x:c>
      <x:c r="D172" t="str">
        <x:v>물류</x:v>
      </x:c>
      <x:c r="E172" t="str">
        <x:v>출근</x:v>
      </x:c>
      <x:c r="F172" s="18" t="n">
        <x:v>0.375</x:v>
      </x:c>
      <x:c r="G172" s="18" t="n">
        <x:v>0.7708333333333334</x:v>
      </x:c>
      <x:c r="H172" s="20" t="n">
        <x:v>1</x:v>
      </x:c>
      <x:c r="I172" s="21"/>
      <x:c r="J172" s="21"/>
      <x:c r="K172" s="21"/>
      <x:c r="L172" s="14"/>
      <x:c r="M172"/>
    </x:row>
    <x:row r="173">
      <x:c r="A173" s="16" t="n">
        <x:v>46356</x:v>
      </x:c>
      <x:c r="B173" t="str">
        <x:v>E008</x:v>
      </x:c>
      <x:c r="C173" t="str">
        <x:v>강수빈</x:v>
      </x:c>
      <x:c r="D173" t="str">
        <x:v>총무</x:v>
      </x:c>
      <x:c r="E173" t="str">
        <x:v>출근</x:v>
      </x:c>
      <x:c r="F173" s="18" t="n">
        <x:v>0.375</x:v>
      </x:c>
      <x:c r="G173" s="18" t="n">
        <x:v>0.8125</x:v>
      </x:c>
      <x:c r="H173" s="20" t="n">
        <x:v>1</x:v>
      </x:c>
      <x:c r="I173" s="21"/>
      <x:c r="J173" s="21"/>
      <x:c r="K173" s="21"/>
      <x:c r="L173" s="14"/>
      <x:c r="M173"/>
    </x:row>
    <x:row r="175" ht="26" customHeight="1">
      <x:c r="A175" s="25" t="str">
        <x:v>전체 집계</x:v>
      </x:c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</x:row>
  </x:sheetData>
  <x:mergeCells>
    <x:mergeCell ref="A1:M2"/>
    <x:mergeCell ref="A3:M3"/>
  </x:mergeCells>
  <x:conditionalFormatting sqref="L6:L173">
    <x:cfRule type="expression" dxfId="0" priority="1">
      <x:formula>OR(L6="지각",L6="결근")</x:formula>
    </x:cfRule>
  </x:conditionalFormatting>
  <x:conditionalFormatting sqref="E6:E173">
    <x:cfRule type="expression" dxfId="1" priority="2">
      <x:formula>E6="연차"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f532054912c4d2d"/>
  </x:tableParts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5" hidden="0" customWidth="1"/>
    <x:col min="4" max="4" width="13" hidden="0" customWidth="1"/>
    <x:col min="5" max="5" width="13" hidden="0" customWidth="1"/>
    <x:col min="6" max="6" width="14" hidden="0" customWidth="1"/>
    <x:col min="7" max="7" width="14" hidden="0" customWidth="1"/>
    <x:col min="8" max="8" width="16" hidden="0" customWidth="1"/>
    <x:col min="9" max="9" width="19" hidden="0" customWidth="1"/>
    <x:col min="10" max="10" width="13" hidden="0" customWidth="1"/>
    <x:col min="11" max="11" width="17" hidden="0" customWidth="1"/>
    <x:col min="12" max="12" width="16" hidden="0" customWidth="1"/>
    <x:col min="13" max="13" width="19" hidden="0" customWidth="1"/>
  </x:cols>
  <x:sheetData>
    <x:row r="1" ht="25" customHeight="1">
      <x:c r="A1" s="3" t="str">
        <x:v>직원 근태관리대장  |  완성예시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5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6" customHeight="1">
      <x:c r="A3" s="7" t="str">
        <x:v>2026년 11월 · 직원 8명 · 평일 근무기록 | 기본근무 09:00~18:00, 휴게 1시간 (가상 자료)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5" ht="30" customHeight="1">
      <x:c r="A5" s="11" t="str">
        <x:v>근무일</x:v>
      </x:c>
      <x:c r="B5" s="11" t="str">
        <x:v>직원번호</x:v>
      </x:c>
      <x:c r="C5" s="11" t="str">
        <x:v>직원명</x:v>
      </x:c>
      <x:c r="D5" s="11" t="str">
        <x:v>부서</x:v>
      </x:c>
      <x:c r="E5" s="11" t="str">
        <x:v>근태구분</x:v>
      </x:c>
      <x:c r="F5" s="11" t="str">
        <x:v>출근시간</x:v>
      </x:c>
      <x:c r="G5" s="11" t="str">
        <x:v>퇴근시간</x:v>
      </x:c>
      <x:c r="H5" s="11" t="str">
        <x:v>휴게시간(h)</x:v>
      </x:c>
      <x:c r="I5" s="11" t="str">
        <x:v>실근무시간(h)</x:v>
      </x:c>
      <x:c r="J5" s="11" t="str">
        <x:v>지각(분)</x:v>
      </x:c>
      <x:c r="K5" s="11" t="str">
        <x:v>연장근무(h)</x:v>
      </x:c>
      <x:c r="L5" s="11" t="str">
        <x:v>근무판정</x:v>
      </x:c>
      <x:c r="M5" s="11" t="str">
        <x:v>비고</x:v>
      </x:c>
    </x:row>
    <x:row r="6">
      <x:c r="A6" s="16" t="n">
        <x:v>46328</x:v>
      </x:c>
      <x:c r="B6" t="str">
        <x:v>E001</x:v>
      </x:c>
      <x:c r="C6" t="str">
        <x:v>김민수</x:v>
      </x:c>
      <x:c r="D6" t="str">
        <x:v>영업</x:v>
      </x:c>
      <x:c r="E6" t="str">
        <x:v>연차</x:v>
      </x:c>
      <x:c r="F6" s="18"/>
      <x:c r="G6" s="18"/>
      <x:c r="H6" s="20" t="n">
        <x:v>0</x:v>
      </x:c>
      <x:c r="I6" s="21" t="n">
        <x:f>IF(E6&lt;&gt;"출근",0,ROUND(MAX(0,(G6-F6)*24-H6),2))</x:f>
        <x:v>0</x:v>
      </x:c>
      <x:c r="J6" s="28" t="n">
        <x:f>IF(E6&lt;&gt;"출근",0,MAX(0,ROUND((F6-TIME(9,0,0))*1440,0)))</x:f>
        <x:v>0</x:v>
      </x:c>
      <x:c r="K6" s="21" t="n">
        <x:f>IF(E6&lt;&gt;"출근",0,MAX(0,I6-8))</x:f>
        <x:v>0</x:v>
      </x:c>
      <x:c r="L6" s="14" t="str">
        <x:f>IF(E6="연차","연차",IF(E6="결근","결근",IF(J6&gt;0,"지각","정상")))</x:f>
        <x:v>연차</x:v>
      </x:c>
      <x:c r="M6"/>
    </x:row>
    <x:row r="7">
      <x:c r="A7" s="16" t="n">
        <x:v>46328</x:v>
      </x:c>
      <x:c r="B7" t="str">
        <x:v>E002</x:v>
      </x:c>
      <x:c r="C7" t="str">
        <x:v>이서연</x:v>
      </x:c>
      <x:c r="D7" t="str">
        <x:v>총무</x:v>
      </x:c>
      <x:c r="E7" t="str">
        <x:v>출근</x:v>
      </x:c>
      <x:c r="F7" s="18" t="n">
        <x:v>0.375</x:v>
      </x:c>
      <x:c r="G7" s="18" t="n">
        <x:v>0.75</x:v>
      </x:c>
      <x:c r="H7" s="20" t="n">
        <x:v>1</x:v>
      </x:c>
      <x:c r="I7" s="21" t="n">
        <x:f>IF(E7&lt;&gt;"출근",0,ROUND(MAX(0,(G7-F7)*24-H7),2))</x:f>
        <x:v>8</x:v>
      </x:c>
      <x:c r="J7" s="28" t="n">
        <x:f>IF(E7&lt;&gt;"출근",0,MAX(0,ROUND((F7-TIME(9,0,0))*1440,0)))</x:f>
        <x:v>0</x:v>
      </x:c>
      <x:c r="K7" s="21" t="n">
        <x:f>IF(E7&lt;&gt;"출근",0,MAX(0,I7-8))</x:f>
        <x:v>0</x:v>
      </x:c>
      <x:c r="L7" s="14" t="str">
        <x:f>IF(E7="연차","연차",IF(E7="결근","결근",IF(J7&gt;0,"지각","정상")))</x:f>
        <x:v>정상</x:v>
      </x:c>
      <x:c r="M7"/>
    </x:row>
    <x:row r="8">
      <x:c r="A8" s="16" t="n">
        <x:v>46328</x:v>
      </x:c>
      <x:c r="B8" t="str">
        <x:v>E003</x:v>
      </x:c>
      <x:c r="C8" t="str">
        <x:v>박준호</x:v>
      </x:c>
      <x:c r="D8" t="str">
        <x:v>물류</x:v>
      </x:c>
      <x:c r="E8" t="str">
        <x:v>출근</x:v>
      </x:c>
      <x:c r="F8" s="18" t="n">
        <x:v>0.38333333333333336</x:v>
      </x:c>
      <x:c r="G8" s="18" t="n">
        <x:v>0.7708333333333334</x:v>
      </x:c>
      <x:c r="H8" s="20" t="n">
        <x:v>1</x:v>
      </x:c>
      <x:c r="I8" s="21" t="n">
        <x:f>IF(E8&lt;&gt;"출근",0,ROUND(MAX(0,(G8-F8)*24-H8),2))</x:f>
        <x:v>8.3</x:v>
      </x:c>
      <x:c r="J8" s="28" t="n">
        <x:f>IF(E8&lt;&gt;"출근",0,MAX(0,ROUND((F8-TIME(9,0,0))*1440,0)))</x:f>
        <x:v>12</x:v>
      </x:c>
      <x:c r="K8" s="21" t="n">
        <x:f>IF(E8&lt;&gt;"출근",0,MAX(0,I8-8))</x:f>
        <x:v>0.3000000000000007</x:v>
      </x:c>
      <x:c r="L8" s="14" t="str">
        <x:f>IF(E8="연차","연차",IF(E8="결근","결근",IF(J8&gt;0,"지각","정상")))</x:f>
        <x:v>지각</x:v>
      </x:c>
      <x:c r="M8"/>
    </x:row>
    <x:row r="9">
      <x:c r="A9" s="16" t="n">
        <x:v>46328</x:v>
      </x:c>
      <x:c r="B9" t="str">
        <x:v>E004</x:v>
      </x:c>
      <x:c r="C9" t="str">
        <x:v>최지은</x:v>
      </x:c>
      <x:c r="D9" t="str">
        <x:v>생산</x:v>
      </x:c>
      <x:c r="E9" t="str">
        <x:v>출근</x:v>
      </x:c>
      <x:c r="F9" s="18" t="n">
        <x:v>0.375</x:v>
      </x:c>
      <x:c r="G9" s="18" t="n">
        <x:v>0.8125</x:v>
      </x:c>
      <x:c r="H9" s="20" t="n">
        <x:v>1</x:v>
      </x:c>
      <x:c r="I9" s="21" t="n">
        <x:f>IF(E9&lt;&gt;"출근",0,ROUND(MAX(0,(G9-F9)*24-H9),2))</x:f>
        <x:v>9.5</x:v>
      </x:c>
      <x:c r="J9" s="28" t="n">
        <x:f>IF(E9&lt;&gt;"출근",0,MAX(0,ROUND((F9-TIME(9,0,0))*1440,0)))</x:f>
        <x:v>0</x:v>
      </x:c>
      <x:c r="K9" s="21" t="n">
        <x:f>IF(E9&lt;&gt;"출근",0,MAX(0,I9-8))</x:f>
        <x:v>1.5</x:v>
      </x:c>
      <x:c r="L9" s="14" t="str">
        <x:f>IF(E9="연차","연차",IF(E9="결근","결근",IF(J9&gt;0,"지각","정상")))</x:f>
        <x:v>정상</x:v>
      </x:c>
      <x:c r="M9"/>
    </x:row>
    <x:row r="10">
      <x:c r="A10" s="16" t="n">
        <x:v>46328</x:v>
      </x:c>
      <x:c r="B10" t="str">
        <x:v>E005</x:v>
      </x:c>
      <x:c r="C10" t="str">
        <x:v>정현우</x:v>
      </x:c>
      <x:c r="D10" t="str">
        <x:v>생산</x:v>
      </x:c>
      <x:c r="E10" t="str">
        <x:v>출근</x:v>
      </x:c>
      <x:c r="F10" s="18" t="n">
        <x:v>0.375</x:v>
      </x:c>
      <x:c r="G10" s="18" t="n">
        <x:v>0.75</x:v>
      </x:c>
      <x:c r="H10" s="20" t="n">
        <x:v>1</x:v>
      </x:c>
      <x:c r="I10" s="21" t="n">
        <x:f>IF(E10&lt;&gt;"출근",0,ROUND(MAX(0,(G10-F10)*24-H10),2))</x:f>
        <x:v>8</x:v>
      </x:c>
      <x:c r="J10" s="28" t="n">
        <x:f>IF(E10&lt;&gt;"출근",0,MAX(0,ROUND((F10-TIME(9,0,0))*1440,0)))</x:f>
        <x:v>0</x:v>
      </x:c>
      <x:c r="K10" s="21" t="n">
        <x:f>IF(E10&lt;&gt;"출근",0,MAX(0,I10-8))</x:f>
        <x:v>0</x:v>
      </x:c>
      <x:c r="L10" s="14" t="str">
        <x:f>IF(E10="연차","연차",IF(E10="결근","결근",IF(J10&gt;0,"지각","정상")))</x:f>
        <x:v>정상</x:v>
      </x:c>
      <x:c r="M10"/>
    </x:row>
    <x:row r="11">
      <x:c r="A11" s="16" t="n">
        <x:v>46328</x:v>
      </x:c>
      <x:c r="B11" t="str">
        <x:v>E006</x:v>
      </x:c>
      <x:c r="C11" t="str">
        <x:v>한유진</x:v>
      </x:c>
      <x:c r="D11" t="str">
        <x:v>영업</x:v>
      </x:c>
      <x:c r="E11" t="str">
        <x:v>출근</x:v>
      </x:c>
      <x:c r="F11" s="18" t="n">
        <x:v>0.38333333333333336</x:v>
      </x:c>
      <x:c r="G11" s="18" t="n">
        <x:v>0.75</x:v>
      </x:c>
      <x:c r="H11" s="20" t="n">
        <x:v>1</x:v>
      </x:c>
      <x:c r="I11" s="21" t="n">
        <x:f>IF(E11&lt;&gt;"출근",0,ROUND(MAX(0,(G11-F11)*24-H11),2))</x:f>
        <x:v>7.8</x:v>
      </x:c>
      <x:c r="J11" s="28" t="n">
        <x:f>IF(E11&lt;&gt;"출근",0,MAX(0,ROUND((F11-TIME(9,0,0))*1440,0)))</x:f>
        <x:v>12</x:v>
      </x:c>
      <x:c r="K11" s="21" t="n">
        <x:f>IF(E11&lt;&gt;"출근",0,MAX(0,I11-8))</x:f>
        <x:v>0</x:v>
      </x:c>
      <x:c r="L11" s="14" t="str">
        <x:f>IF(E11="연차","연차",IF(E11="결근","결근",IF(J11&gt;0,"지각","정상")))</x:f>
        <x:v>지각</x:v>
      </x:c>
      <x:c r="M11"/>
    </x:row>
    <x:row r="12">
      <x:c r="A12" s="16" t="n">
        <x:v>46328</x:v>
      </x:c>
      <x:c r="B12" t="str">
        <x:v>E007</x:v>
      </x:c>
      <x:c r="C12" t="str">
        <x:v>오지훈</x:v>
      </x:c>
      <x:c r="D12" t="str">
        <x:v>물류</x:v>
      </x:c>
      <x:c r="E12" t="str">
        <x:v>출근</x:v>
      </x:c>
      <x:c r="F12" s="18" t="n">
        <x:v>0.375</x:v>
      </x:c>
      <x:c r="G12" s="18" t="n">
        <x:v>0.7916666666666666</x:v>
      </x:c>
      <x:c r="H12" s="20" t="n">
        <x:v>1</x:v>
      </x:c>
      <x:c r="I12" s="21" t="n">
        <x:f>IF(E12&lt;&gt;"출근",0,ROUND(MAX(0,(G12-F12)*24-H12),2))</x:f>
        <x:v>9</x:v>
      </x:c>
      <x:c r="J12" s="28" t="n">
        <x:f>IF(E12&lt;&gt;"출근",0,MAX(0,ROUND((F12-TIME(9,0,0))*1440,0)))</x:f>
        <x:v>0</x:v>
      </x:c>
      <x:c r="K12" s="21" t="n">
        <x:f>IF(E12&lt;&gt;"출근",0,MAX(0,I12-8))</x:f>
        <x:v>1</x:v>
      </x:c>
      <x:c r="L12" s="14" t="str">
        <x:f>IF(E12="연차","연차",IF(E12="결근","결근",IF(J12&gt;0,"지각","정상")))</x:f>
        <x:v>정상</x:v>
      </x:c>
      <x:c r="M12"/>
    </x:row>
    <x:row r="13">
      <x:c r="A13" s="16" t="n">
        <x:v>46328</x:v>
      </x:c>
      <x:c r="B13" t="str">
        <x:v>E008</x:v>
      </x:c>
      <x:c r="C13" t="str">
        <x:v>강수빈</x:v>
      </x:c>
      <x:c r="D13" t="str">
        <x:v>총무</x:v>
      </x:c>
      <x:c r="E13" t="str">
        <x:v>출근</x:v>
      </x:c>
      <x:c r="F13" s="18" t="n">
        <x:v>0.375</x:v>
      </x:c>
      <x:c r="G13" s="18" t="n">
        <x:v>0.75</x:v>
      </x:c>
      <x:c r="H13" s="20" t="n">
        <x:v>1</x:v>
      </x:c>
      <x:c r="I13" s="21" t="n">
        <x:f>IF(E13&lt;&gt;"출근",0,ROUND(MAX(0,(G13-F13)*24-H13),2))</x:f>
        <x:v>8</x:v>
      </x:c>
      <x:c r="J13" s="28" t="n">
        <x:f>IF(E13&lt;&gt;"출근",0,MAX(0,ROUND((F13-TIME(9,0,0))*1440,0)))</x:f>
        <x:v>0</x:v>
      </x:c>
      <x:c r="K13" s="21" t="n">
        <x:f>IF(E13&lt;&gt;"출근",0,MAX(0,I13-8))</x:f>
        <x:v>0</x:v>
      </x:c>
      <x:c r="L13" s="14" t="str">
        <x:f>IF(E13="연차","연차",IF(E13="결근","결근",IF(J13&gt;0,"지각","정상")))</x:f>
        <x:v>정상</x:v>
      </x:c>
      <x:c r="M13"/>
    </x:row>
    <x:row r="14">
      <x:c r="A14" s="16" t="n">
        <x:v>46329</x:v>
      </x:c>
      <x:c r="B14" t="str">
        <x:v>E001</x:v>
      </x:c>
      <x:c r="C14" t="str">
        <x:v>김민수</x:v>
      </x:c>
      <x:c r="D14" t="str">
        <x:v>영업</x:v>
      </x:c>
      <x:c r="E14" t="str">
        <x:v>출근</x:v>
      </x:c>
      <x:c r="F14" s="18" t="n">
        <x:v>0.37916666666666665</x:v>
      </x:c>
      <x:c r="G14" s="18" t="n">
        <x:v>0.75</x:v>
      </x:c>
      <x:c r="H14" s="20" t="n">
        <x:v>1</x:v>
      </x:c>
      <x:c r="I14" s="21" t="n">
        <x:f>IF(E14&lt;&gt;"출근",0,ROUND(MAX(0,(G14-F14)*24-H14),2))</x:f>
        <x:v>7.9</x:v>
      </x:c>
      <x:c r="J14" s="28" t="n">
        <x:f>IF(E14&lt;&gt;"출근",0,MAX(0,ROUND((F14-TIME(9,0,0))*1440,0)))</x:f>
        <x:v>6</x:v>
      </x:c>
      <x:c r="K14" s="21" t="n">
        <x:f>IF(E14&lt;&gt;"출근",0,MAX(0,I14-8))</x:f>
        <x:v>0</x:v>
      </x:c>
      <x:c r="L14" s="14" t="str">
        <x:f>IF(E14="연차","연차",IF(E14="결근","결근",IF(J14&gt;0,"지각","정상")))</x:f>
        <x:v>지각</x:v>
      </x:c>
      <x:c r="M14"/>
    </x:row>
    <x:row r="15">
      <x:c r="A15" s="16" t="n">
        <x:v>46329</x:v>
      </x:c>
      <x:c r="B15" t="str">
        <x:v>E002</x:v>
      </x:c>
      <x:c r="C15" t="str">
        <x:v>이서연</x:v>
      </x:c>
      <x:c r="D15" t="str">
        <x:v>총무</x:v>
      </x:c>
      <x:c r="E15" t="str">
        <x:v>출근</x:v>
      </x:c>
      <x:c r="F15" s="18" t="n">
        <x:v>0.39444444444444443</x:v>
      </x:c>
      <x:c r="G15" s="18" t="n">
        <x:v>0.75</x:v>
      </x:c>
      <x:c r="H15" s="20" t="n">
        <x:v>1</x:v>
      </x:c>
      <x:c r="I15" s="21" t="n">
        <x:f>IF(E15&lt;&gt;"출근",0,ROUND(MAX(0,(G15-F15)*24-H15),2))</x:f>
        <x:v>7.53</x:v>
      </x:c>
      <x:c r="J15" s="28" t="n">
        <x:f>IF(E15&lt;&gt;"출근",0,MAX(0,ROUND((F15-TIME(9,0,0))*1440,0)))</x:f>
        <x:v>28</x:v>
      </x:c>
      <x:c r="K15" s="21" t="n">
        <x:f>IF(E15&lt;&gt;"출근",0,MAX(0,I15-8))</x:f>
        <x:v>0</x:v>
      </x:c>
      <x:c r="L15" s="14" t="str">
        <x:f>IF(E15="연차","연차",IF(E15="결근","결근",IF(J15&gt;0,"지각","정상")))</x:f>
        <x:v>지각</x:v>
      </x:c>
      <x:c r="M15"/>
    </x:row>
    <x:row r="16">
      <x:c r="A16" s="16" t="n">
        <x:v>46329</x:v>
      </x:c>
      <x:c r="B16" t="str">
        <x:v>E003</x:v>
      </x:c>
      <x:c r="C16" t="str">
        <x:v>박준호</x:v>
      </x:c>
      <x:c r="D16" t="str">
        <x:v>물류</x:v>
      </x:c>
      <x:c r="E16" t="str">
        <x:v>출근</x:v>
      </x:c>
      <x:c r="F16" s="18" t="n">
        <x:v>0.375</x:v>
      </x:c>
      <x:c r="G16" s="18" t="n">
        <x:v>0.7916666666666666</x:v>
      </x:c>
      <x:c r="H16" s="20" t="n">
        <x:v>1</x:v>
      </x:c>
      <x:c r="I16" s="21" t="n">
        <x:f>IF(E16&lt;&gt;"출근",0,ROUND(MAX(0,(G16-F16)*24-H16),2))</x:f>
        <x:v>9</x:v>
      </x:c>
      <x:c r="J16" s="28" t="n">
        <x:f>IF(E16&lt;&gt;"출근",0,MAX(0,ROUND((F16-TIME(9,0,0))*1440,0)))</x:f>
        <x:v>0</x:v>
      </x:c>
      <x:c r="K16" s="21" t="n">
        <x:f>IF(E16&lt;&gt;"출근",0,MAX(0,I16-8))</x:f>
        <x:v>1</x:v>
      </x:c>
      <x:c r="L16" s="14" t="str">
        <x:f>IF(E16="연차","연차",IF(E16="결근","결근",IF(J16&gt;0,"지각","정상")))</x:f>
        <x:v>정상</x:v>
      </x:c>
      <x:c r="M16"/>
    </x:row>
    <x:row r="17">
      <x:c r="A17" s="16" t="n">
        <x:v>46329</x:v>
      </x:c>
      <x:c r="B17" t="str">
        <x:v>E004</x:v>
      </x:c>
      <x:c r="C17" t="str">
        <x:v>최지은</x:v>
      </x:c>
      <x:c r="D17" t="str">
        <x:v>생산</x:v>
      </x:c>
      <x:c r="E17" t="str">
        <x:v>출근</x:v>
      </x:c>
      <x:c r="F17" s="18" t="n">
        <x:v>0.37916666666666665</x:v>
      </x:c>
      <x:c r="G17" s="18" t="n">
        <x:v>0.75</x:v>
      </x:c>
      <x:c r="H17" s="20" t="n">
        <x:v>1</x:v>
      </x:c>
      <x:c r="I17" s="21" t="n">
        <x:f>IF(E17&lt;&gt;"출근",0,ROUND(MAX(0,(G17-F17)*24-H17),2))</x:f>
        <x:v>7.9</x:v>
      </x:c>
      <x:c r="J17" s="28" t="n">
        <x:f>IF(E17&lt;&gt;"출근",0,MAX(0,ROUND((F17-TIME(9,0,0))*1440,0)))</x:f>
        <x:v>6</x:v>
      </x:c>
      <x:c r="K17" s="21" t="n">
        <x:f>IF(E17&lt;&gt;"출근",0,MAX(0,I17-8))</x:f>
        <x:v>0</x:v>
      </x:c>
      <x:c r="L17" s="14" t="str">
        <x:f>IF(E17="연차","연차",IF(E17="결근","결근",IF(J17&gt;0,"지각","정상")))</x:f>
        <x:v>지각</x:v>
      </x:c>
      <x:c r="M17"/>
    </x:row>
    <x:row r="18">
      <x:c r="A18" s="16" t="n">
        <x:v>46329</x:v>
      </x:c>
      <x:c r="B18" t="str">
        <x:v>E005</x:v>
      </x:c>
      <x:c r="C18" t="str">
        <x:v>정현우</x:v>
      </x:c>
      <x:c r="D18" t="str">
        <x:v>생산</x:v>
      </x:c>
      <x:c r="E18" t="str">
        <x:v>출근</x:v>
      </x:c>
      <x:c r="F18" s="18" t="n">
        <x:v>0.39444444444444443</x:v>
      </x:c>
      <x:c r="G18" s="18" t="n">
        <x:v>0.75</x:v>
      </x:c>
      <x:c r="H18" s="20" t="n">
        <x:v>1</x:v>
      </x:c>
      <x:c r="I18" s="21" t="n">
        <x:f>IF(E18&lt;&gt;"출근",0,ROUND(MAX(0,(G18-F18)*24-H18),2))</x:f>
        <x:v>7.53</x:v>
      </x:c>
      <x:c r="J18" s="28" t="n">
        <x:f>IF(E18&lt;&gt;"출근",0,MAX(0,ROUND((F18-TIME(9,0,0))*1440,0)))</x:f>
        <x:v>28</x:v>
      </x:c>
      <x:c r="K18" s="21" t="n">
        <x:f>IF(E18&lt;&gt;"출근",0,MAX(0,I18-8))</x:f>
        <x:v>0</x:v>
      </x:c>
      <x:c r="L18" s="14" t="str">
        <x:f>IF(E18="연차","연차",IF(E18="결근","결근",IF(J18&gt;0,"지각","정상")))</x:f>
        <x:v>지각</x:v>
      </x:c>
      <x:c r="M18"/>
    </x:row>
    <x:row r="19">
      <x:c r="A19" s="16" t="n">
        <x:v>46329</x:v>
      </x:c>
      <x:c r="B19" t="str">
        <x:v>E006</x:v>
      </x:c>
      <x:c r="C19" t="str">
        <x:v>한유진</x:v>
      </x:c>
      <x:c r="D19" t="str">
        <x:v>영업</x:v>
      </x:c>
      <x:c r="E19" t="str">
        <x:v>출근</x:v>
      </x:c>
      <x:c r="F19" s="18" t="n">
        <x:v>0.375</x:v>
      </x:c>
      <x:c r="G19" s="18" t="n">
        <x:v>0.7708333333333334</x:v>
      </x:c>
      <x:c r="H19" s="20" t="n">
        <x:v>1</x:v>
      </x:c>
      <x:c r="I19" s="21" t="n">
        <x:f>IF(E19&lt;&gt;"출근",0,ROUND(MAX(0,(G19-F19)*24-H19),2))</x:f>
        <x:v>8.5</x:v>
      </x:c>
      <x:c r="J19" s="28" t="n">
        <x:f>IF(E19&lt;&gt;"출근",0,MAX(0,ROUND((F19-TIME(9,0,0))*1440,0)))</x:f>
        <x:v>0</x:v>
      </x:c>
      <x:c r="K19" s="21" t="n">
        <x:f>IF(E19&lt;&gt;"출근",0,MAX(0,I19-8))</x:f>
        <x:v>0.5</x:v>
      </x:c>
      <x:c r="L19" s="14" t="str">
        <x:f>IF(E19="연차","연차",IF(E19="결근","결근",IF(J19&gt;0,"지각","정상")))</x:f>
        <x:v>정상</x:v>
      </x:c>
      <x:c r="M19"/>
    </x:row>
    <x:row r="20">
      <x:c r="A20" s="16" t="n">
        <x:v>46329</x:v>
      </x:c>
      <x:c r="B20" t="str">
        <x:v>E007</x:v>
      </x:c>
      <x:c r="C20" t="str">
        <x:v>오지훈</x:v>
      </x:c>
      <x:c r="D20" t="str">
        <x:v>물류</x:v>
      </x:c>
      <x:c r="E20" t="str">
        <x:v>출근</x:v>
      </x:c>
      <x:c r="F20" s="18" t="n">
        <x:v>0.37916666666666665</x:v>
      </x:c>
      <x:c r="G20" s="18" t="n">
        <x:v>0.8125</x:v>
      </x:c>
      <x:c r="H20" s="20" t="n">
        <x:v>1</x:v>
      </x:c>
      <x:c r="I20" s="21" t="n">
        <x:f>IF(E20&lt;&gt;"출근",0,ROUND(MAX(0,(G20-F20)*24-H20),2))</x:f>
        <x:v>9.4</x:v>
      </x:c>
      <x:c r="J20" s="28" t="n">
        <x:f>IF(E20&lt;&gt;"출근",0,MAX(0,ROUND((F20-TIME(9,0,0))*1440,0)))</x:f>
        <x:v>6</x:v>
      </x:c>
      <x:c r="K20" s="21" t="n">
        <x:f>IF(E20&lt;&gt;"출근",0,MAX(0,I20-8))</x:f>
        <x:v>1.4000000000000004</x:v>
      </x:c>
      <x:c r="L20" s="14" t="str">
        <x:f>IF(E20="연차","연차",IF(E20="결근","결근",IF(J20&gt;0,"지각","정상")))</x:f>
        <x:v>지각</x:v>
      </x:c>
      <x:c r="M20"/>
    </x:row>
    <x:row r="21">
      <x:c r="A21" s="16" t="n">
        <x:v>46329</x:v>
      </x:c>
      <x:c r="B21" t="str">
        <x:v>E008</x:v>
      </x:c>
      <x:c r="C21" t="str">
        <x:v>강수빈</x:v>
      </x:c>
      <x:c r="D21" t="str">
        <x:v>총무</x:v>
      </x:c>
      <x:c r="E21" t="str">
        <x:v>출근</x:v>
      </x:c>
      <x:c r="F21" s="18" t="n">
        <x:v>0.39444444444444443</x:v>
      </x:c>
      <x:c r="G21" s="18" t="n">
        <x:v>0.75</x:v>
      </x:c>
      <x:c r="H21" s="20" t="n">
        <x:v>1</x:v>
      </x:c>
      <x:c r="I21" s="21" t="n">
        <x:f>IF(E21&lt;&gt;"출근",0,ROUND(MAX(0,(G21-F21)*24-H21),2))</x:f>
        <x:v>7.53</x:v>
      </x:c>
      <x:c r="J21" s="28" t="n">
        <x:f>IF(E21&lt;&gt;"출근",0,MAX(0,ROUND((F21-TIME(9,0,0))*1440,0)))</x:f>
        <x:v>28</x:v>
      </x:c>
      <x:c r="K21" s="21" t="n">
        <x:f>IF(E21&lt;&gt;"출근",0,MAX(0,I21-8))</x:f>
        <x:v>0</x:v>
      </x:c>
      <x:c r="L21" s="14" t="str">
        <x:f>IF(E21="연차","연차",IF(E21="결근","결근",IF(J21&gt;0,"지각","정상")))</x:f>
        <x:v>지각</x:v>
      </x:c>
      <x:c r="M21"/>
    </x:row>
    <x:row r="22">
      <x:c r="A22" s="16" t="n">
        <x:v>46330</x:v>
      </x:c>
      <x:c r="B22" t="str">
        <x:v>E001</x:v>
      </x:c>
      <x:c r="C22" t="str">
        <x:v>김민수</x:v>
      </x:c>
      <x:c r="D22" t="str">
        <x:v>영업</x:v>
      </x:c>
      <x:c r="E22" t="str">
        <x:v>출근</x:v>
      </x:c>
      <x:c r="F22" s="18" t="n">
        <x:v>0.375</x:v>
      </x:c>
      <x:c r="G22" s="18" t="n">
        <x:v>0.75</x:v>
      </x:c>
      <x:c r="H22" s="20" t="n">
        <x:v>1</x:v>
      </x:c>
      <x:c r="I22" s="21" t="n">
        <x:f>IF(E22&lt;&gt;"출근",0,ROUND(MAX(0,(G22-F22)*24-H22),2))</x:f>
        <x:v>8</x:v>
      </x:c>
      <x:c r="J22" s="28" t="n">
        <x:f>IF(E22&lt;&gt;"출근",0,MAX(0,ROUND((F22-TIME(9,0,0))*1440,0)))</x:f>
        <x:v>0</x:v>
      </x:c>
      <x:c r="K22" s="21" t="n">
        <x:f>IF(E22&lt;&gt;"출근",0,MAX(0,I22-8))</x:f>
        <x:v>0</x:v>
      </x:c>
      <x:c r="L22" s="14" t="str">
        <x:f>IF(E22="연차","연차",IF(E22="결근","결근",IF(J22&gt;0,"지각","정상")))</x:f>
        <x:v>정상</x:v>
      </x:c>
      <x:c r="M22"/>
    </x:row>
    <x:row r="23">
      <x:c r="A23" s="16" t="n">
        <x:v>46330</x:v>
      </x:c>
      <x:c r="B23" t="str">
        <x:v>E002</x:v>
      </x:c>
      <x:c r="C23" t="str">
        <x:v>이서연</x:v>
      </x:c>
      <x:c r="D23" t="str">
        <x:v>총무</x:v>
      </x:c>
      <x:c r="E23" t="str">
        <x:v>출근</x:v>
      </x:c>
      <x:c r="F23" s="18" t="n">
        <x:v>0.375</x:v>
      </x:c>
      <x:c r="G23" s="18" t="n">
        <x:v>0.7708333333333334</x:v>
      </x:c>
      <x:c r="H23" s="20" t="n">
        <x:v>1</x:v>
      </x:c>
      <x:c r="I23" s="21" t="n">
        <x:f>IF(E23&lt;&gt;"출근",0,ROUND(MAX(0,(G23-F23)*24-H23),2))</x:f>
        <x:v>8.5</x:v>
      </x:c>
      <x:c r="J23" s="28" t="n">
        <x:f>IF(E23&lt;&gt;"출근",0,MAX(0,ROUND((F23-TIME(9,0,0))*1440,0)))</x:f>
        <x:v>0</x:v>
      </x:c>
      <x:c r="K23" s="21" t="n">
        <x:f>IF(E23&lt;&gt;"출근",0,MAX(0,I23-8))</x:f>
        <x:v>0.5</x:v>
      </x:c>
      <x:c r="L23" s="14" t="str">
        <x:f>IF(E23="연차","연차",IF(E23="결근","결근",IF(J23&gt;0,"지각","정상")))</x:f>
        <x:v>정상</x:v>
      </x:c>
      <x:c r="M23"/>
    </x:row>
    <x:row r="24">
      <x:c r="A24" s="16" t="n">
        <x:v>46330</x:v>
      </x:c>
      <x:c r="B24" t="str">
        <x:v>E003</x:v>
      </x:c>
      <x:c r="C24" t="str">
        <x:v>박준호</x:v>
      </x:c>
      <x:c r="D24" t="str">
        <x:v>물류</x:v>
      </x:c>
      <x:c r="E24" t="str">
        <x:v>출근</x:v>
      </x:c>
      <x:c r="F24" s="18" t="n">
        <x:v>0.38819444444444445</x:v>
      </x:c>
      <x:c r="G24" s="18" t="n">
        <x:v>0.8125</x:v>
      </x:c>
      <x:c r="H24" s="20" t="n">
        <x:v>1</x:v>
      </x:c>
      <x:c r="I24" s="21" t="n">
        <x:f>IF(E24&lt;&gt;"출근",0,ROUND(MAX(0,(G24-F24)*24-H24),2))</x:f>
        <x:v>9.18</x:v>
      </x:c>
      <x:c r="J24" s="28" t="n">
        <x:f>IF(E24&lt;&gt;"출근",0,MAX(0,ROUND((F24-TIME(9,0,0))*1440,0)))</x:f>
        <x:v>19</x:v>
      </x:c>
      <x:c r="K24" s="21" t="n">
        <x:f>IF(E24&lt;&gt;"출근",0,MAX(0,I24-8))</x:f>
        <x:v>1.1799999999999997</x:v>
      </x:c>
      <x:c r="L24" s="14" t="str">
        <x:f>IF(E24="연차","연차",IF(E24="결근","결근",IF(J24&gt;0,"지각","정상")))</x:f>
        <x:v>지각</x:v>
      </x:c>
      <x:c r="M24"/>
    </x:row>
    <x:row r="25">
      <x:c r="A25" s="16" t="n">
        <x:v>46330</x:v>
      </x:c>
      <x:c r="B25" t="str">
        <x:v>E004</x:v>
      </x:c>
      <x:c r="C25" t="str">
        <x:v>최지은</x:v>
      </x:c>
      <x:c r="D25" t="str">
        <x:v>생산</x:v>
      </x:c>
      <x:c r="E25" t="str">
        <x:v>출근</x:v>
      </x:c>
      <x:c r="F25" s="18" t="n">
        <x:v>0.375</x:v>
      </x:c>
      <x:c r="G25" s="18" t="n">
        <x:v>0.75</x:v>
      </x:c>
      <x:c r="H25" s="20" t="n">
        <x:v>1</x:v>
      </x:c>
      <x:c r="I25" s="21" t="n">
        <x:f>IF(E25&lt;&gt;"출근",0,ROUND(MAX(0,(G25-F25)*24-H25),2))</x:f>
        <x:v>8</x:v>
      </x:c>
      <x:c r="J25" s="28" t="n">
        <x:f>IF(E25&lt;&gt;"출근",0,MAX(0,ROUND((F25-TIME(9,0,0))*1440,0)))</x:f>
        <x:v>0</x:v>
      </x:c>
      <x:c r="K25" s="21" t="n">
        <x:f>IF(E25&lt;&gt;"출근",0,MAX(0,I25-8))</x:f>
        <x:v>0</x:v>
      </x:c>
      <x:c r="L25" s="14" t="str">
        <x:f>IF(E25="연차","연차",IF(E25="결근","결근",IF(J25&gt;0,"지각","정상")))</x:f>
        <x:v>정상</x:v>
      </x:c>
      <x:c r="M25"/>
    </x:row>
    <x:row r="26">
      <x:c r="A26" s="16" t="n">
        <x:v>46330</x:v>
      </x:c>
      <x:c r="B26" t="str">
        <x:v>E005</x:v>
      </x:c>
      <x:c r="C26" t="str">
        <x:v>정현우</x:v>
      </x:c>
      <x:c r="D26" t="str">
        <x:v>생산</x:v>
      </x:c>
      <x:c r="E26" t="str">
        <x:v>출근</x:v>
      </x:c>
      <x:c r="F26" s="18" t="n">
        <x:v>0.375</x:v>
      </x:c>
      <x:c r="G26" s="18" t="n">
        <x:v>0.75</x:v>
      </x:c>
      <x:c r="H26" s="20" t="n">
        <x:v>1</x:v>
      </x:c>
      <x:c r="I26" s="21" t="n">
        <x:f>IF(E26&lt;&gt;"출근",0,ROUND(MAX(0,(G26-F26)*24-H26),2))</x:f>
        <x:v>8</x:v>
      </x:c>
      <x:c r="J26" s="28" t="n">
        <x:f>IF(E26&lt;&gt;"출근",0,MAX(0,ROUND((F26-TIME(9,0,0))*1440,0)))</x:f>
        <x:v>0</x:v>
      </x:c>
      <x:c r="K26" s="21" t="n">
        <x:f>IF(E26&lt;&gt;"출근",0,MAX(0,I26-8))</x:f>
        <x:v>0</x:v>
      </x:c>
      <x:c r="L26" s="14" t="str">
        <x:f>IF(E26="연차","연차",IF(E26="결근","결근",IF(J26&gt;0,"지각","정상")))</x:f>
        <x:v>정상</x:v>
      </x:c>
      <x:c r="M26"/>
    </x:row>
    <x:row r="27">
      <x:c r="A27" s="16" t="n">
        <x:v>46330</x:v>
      </x:c>
      <x:c r="B27" t="str">
        <x:v>E006</x:v>
      </x:c>
      <x:c r="C27" t="str">
        <x:v>한유진</x:v>
      </x:c>
      <x:c r="D27" t="str">
        <x:v>영업</x:v>
      </x:c>
      <x:c r="E27" t="str">
        <x:v>출근</x:v>
      </x:c>
      <x:c r="F27" s="18" t="n">
        <x:v>0.38819444444444445</x:v>
      </x:c>
      <x:c r="G27" s="18" t="n">
        <x:v>0.7916666666666666</x:v>
      </x:c>
      <x:c r="H27" s="20" t="n">
        <x:v>1</x:v>
      </x:c>
      <x:c r="I27" s="21" t="n">
        <x:f>IF(E27&lt;&gt;"출근",0,ROUND(MAX(0,(G27-F27)*24-H27),2))</x:f>
        <x:v>8.68</x:v>
      </x:c>
      <x:c r="J27" s="28" t="n">
        <x:f>IF(E27&lt;&gt;"출근",0,MAX(0,ROUND((F27-TIME(9,0,0))*1440,0)))</x:f>
        <x:v>19</x:v>
      </x:c>
      <x:c r="K27" s="21" t="n">
        <x:f>IF(E27&lt;&gt;"출근",0,MAX(0,I27-8))</x:f>
        <x:v>0.6799999999999997</x:v>
      </x:c>
      <x:c r="L27" s="14" t="str">
        <x:f>IF(E27="연차","연차",IF(E27="결근","결근",IF(J27&gt;0,"지각","정상")))</x:f>
        <x:v>지각</x:v>
      </x:c>
      <x:c r="M27"/>
    </x:row>
    <x:row r="28">
      <x:c r="A28" s="16" t="n">
        <x:v>46330</x:v>
      </x:c>
      <x:c r="B28" t="str">
        <x:v>E007</x:v>
      </x:c>
      <x:c r="C28" t="str">
        <x:v>오지훈</x:v>
      </x:c>
      <x:c r="D28" t="str">
        <x:v>물류</x:v>
      </x:c>
      <x:c r="E28" t="str">
        <x:v>출근</x:v>
      </x:c>
      <x:c r="F28" s="18" t="n">
        <x:v>0.375</x:v>
      </x:c>
      <x:c r="G28" s="18" t="n">
        <x:v>0.75</x:v>
      </x:c>
      <x:c r="H28" s="20" t="n">
        <x:v>1</x:v>
      </x:c>
      <x:c r="I28" s="21" t="n">
        <x:f>IF(E28&lt;&gt;"출근",0,ROUND(MAX(0,(G28-F28)*24-H28),2))</x:f>
        <x:v>8</x:v>
      </x:c>
      <x:c r="J28" s="28" t="n">
        <x:f>IF(E28&lt;&gt;"출근",0,MAX(0,ROUND((F28-TIME(9,0,0))*1440,0)))</x:f>
        <x:v>0</x:v>
      </x:c>
      <x:c r="K28" s="21" t="n">
        <x:f>IF(E28&lt;&gt;"출근",0,MAX(0,I28-8))</x:f>
        <x:v>0</x:v>
      </x:c>
      <x:c r="L28" s="14" t="str">
        <x:f>IF(E28="연차","연차",IF(E28="결근","결근",IF(J28&gt;0,"지각","정상")))</x:f>
        <x:v>정상</x:v>
      </x:c>
      <x:c r="M28"/>
    </x:row>
    <x:row r="29">
      <x:c r="A29" s="16" t="n">
        <x:v>46330</x:v>
      </x:c>
      <x:c r="B29" t="str">
        <x:v>E008</x:v>
      </x:c>
      <x:c r="C29" t="str">
        <x:v>강수빈</x:v>
      </x:c>
      <x:c r="D29" t="str">
        <x:v>총무</x:v>
      </x:c>
      <x:c r="E29" t="str">
        <x:v>출근</x:v>
      </x:c>
      <x:c r="F29" s="18" t="n">
        <x:v>0.375</x:v>
      </x:c>
      <x:c r="G29" s="18" t="n">
        <x:v>0.75</x:v>
      </x:c>
      <x:c r="H29" s="20" t="n">
        <x:v>1</x:v>
      </x:c>
      <x:c r="I29" s="21" t="n">
        <x:f>IF(E29&lt;&gt;"출근",0,ROUND(MAX(0,(G29-F29)*24-H29),2))</x:f>
        <x:v>8</x:v>
      </x:c>
      <x:c r="J29" s="28" t="n">
        <x:f>IF(E29&lt;&gt;"출근",0,MAX(0,ROUND((F29-TIME(9,0,0))*1440,0)))</x:f>
        <x:v>0</x:v>
      </x:c>
      <x:c r="K29" s="21" t="n">
        <x:f>IF(E29&lt;&gt;"출근",0,MAX(0,I29-8))</x:f>
        <x:v>0</x:v>
      </x:c>
      <x:c r="L29" s="14" t="str">
        <x:f>IF(E29="연차","연차",IF(E29="결근","결근",IF(J29&gt;0,"지각","정상")))</x:f>
        <x:v>정상</x:v>
      </x:c>
      <x:c r="M29"/>
    </x:row>
    <x:row r="30">
      <x:c r="A30" s="16" t="n">
        <x:v>46331</x:v>
      </x:c>
      <x:c r="B30" t="str">
        <x:v>E001</x:v>
      </x:c>
      <x:c r="C30" t="str">
        <x:v>김민수</x:v>
      </x:c>
      <x:c r="D30" t="str">
        <x:v>영업</x:v>
      </x:c>
      <x:c r="E30" t="str">
        <x:v>출근</x:v>
      </x:c>
      <x:c r="F30" s="18" t="n">
        <x:v>0.38333333333333336</x:v>
      </x:c>
      <x:c r="G30" s="18" t="n">
        <x:v>0.75</x:v>
      </x:c>
      <x:c r="H30" s="20" t="n">
        <x:v>1</x:v>
      </x:c>
      <x:c r="I30" s="21" t="n">
        <x:f>IF(E30&lt;&gt;"출근",0,ROUND(MAX(0,(G30-F30)*24-H30),2))</x:f>
        <x:v>7.8</x:v>
      </x:c>
      <x:c r="J30" s="28" t="n">
        <x:f>IF(E30&lt;&gt;"출근",0,MAX(0,ROUND((F30-TIME(9,0,0))*1440,0)))</x:f>
        <x:v>12</x:v>
      </x:c>
      <x:c r="K30" s="21" t="n">
        <x:f>IF(E30&lt;&gt;"출근",0,MAX(0,I30-8))</x:f>
        <x:v>0</x:v>
      </x:c>
      <x:c r="L30" s="14" t="str">
        <x:f>IF(E30="연차","연차",IF(E30="결근","결근",IF(J30&gt;0,"지각","정상")))</x:f>
        <x:v>지각</x:v>
      </x:c>
      <x:c r="M30"/>
    </x:row>
    <x:row r="31">
      <x:c r="A31" s="16" t="n">
        <x:v>46331</x:v>
      </x:c>
      <x:c r="B31" t="str">
        <x:v>E002</x:v>
      </x:c>
      <x:c r="C31" t="str">
        <x:v>이서연</x:v>
      </x:c>
      <x:c r="D31" t="str">
        <x:v>총무</x:v>
      </x:c>
      <x:c r="E31" t="str">
        <x:v>출근</x:v>
      </x:c>
      <x:c r="F31" s="18" t="n">
        <x:v>0.375</x:v>
      </x:c>
      <x:c r="G31" s="18" t="n">
        <x:v>0.7916666666666666</x:v>
      </x:c>
      <x:c r="H31" s="20" t="n">
        <x:v>1</x:v>
      </x:c>
      <x:c r="I31" s="21" t="n">
        <x:f>IF(E31&lt;&gt;"출근",0,ROUND(MAX(0,(G31-F31)*24-H31),2))</x:f>
        <x:v>9</x:v>
      </x:c>
      <x:c r="J31" s="28" t="n">
        <x:f>IF(E31&lt;&gt;"출근",0,MAX(0,ROUND((F31-TIME(9,0,0))*1440,0)))</x:f>
        <x:v>0</x:v>
      </x:c>
      <x:c r="K31" s="21" t="n">
        <x:f>IF(E31&lt;&gt;"출근",0,MAX(0,I31-8))</x:f>
        <x:v>1</x:v>
      </x:c>
      <x:c r="L31" s="14" t="str">
        <x:f>IF(E31="연차","연차",IF(E31="결근","결근",IF(J31&gt;0,"지각","정상")))</x:f>
        <x:v>정상</x:v>
      </x:c>
      <x:c r="M31"/>
    </x:row>
    <x:row r="32">
      <x:c r="A32" s="16" t="n">
        <x:v>46331</x:v>
      </x:c>
      <x:c r="B32" t="str">
        <x:v>E003</x:v>
      </x:c>
      <x:c r="C32" t="str">
        <x:v>박준호</x:v>
      </x:c>
      <x:c r="D32" t="str">
        <x:v>물류</x:v>
      </x:c>
      <x:c r="E32" t="str">
        <x:v>연차</x:v>
      </x:c>
      <x:c r="F32" s="18"/>
      <x:c r="G32" s="18"/>
      <x:c r="H32" s="20" t="n">
        <x:v>0</x:v>
      </x:c>
      <x:c r="I32" s="21" t="n">
        <x:f>IF(E32&lt;&gt;"출근",0,ROUND(MAX(0,(G32-F32)*24-H32),2))</x:f>
        <x:v>0</x:v>
      </x:c>
      <x:c r="J32" s="28" t="n">
        <x:f>IF(E32&lt;&gt;"출근",0,MAX(0,ROUND((F32-TIME(9,0,0))*1440,0)))</x:f>
        <x:v>0</x:v>
      </x:c>
      <x:c r="K32" s="21" t="n">
        <x:f>IF(E32&lt;&gt;"출근",0,MAX(0,I32-8))</x:f>
        <x:v>0</x:v>
      </x:c>
      <x:c r="L32" s="14" t="str">
        <x:f>IF(E32="연차","연차",IF(E32="결근","결근",IF(J32&gt;0,"지각","정상")))</x:f>
        <x:v>연차</x:v>
      </x:c>
      <x:c r="M32"/>
    </x:row>
    <x:row r="33">
      <x:c r="A33" s="16" t="n">
        <x:v>46331</x:v>
      </x:c>
      <x:c r="B33" t="str">
        <x:v>E004</x:v>
      </x:c>
      <x:c r="C33" t="str">
        <x:v>최지은</x:v>
      </x:c>
      <x:c r="D33" t="str">
        <x:v>생산</x:v>
      </x:c>
      <x:c r="E33" t="str">
        <x:v>출근</x:v>
      </x:c>
      <x:c r="F33" s="18" t="n">
        <x:v>0.38333333333333336</x:v>
      </x:c>
      <x:c r="G33" s="18" t="n">
        <x:v>0.75</x:v>
      </x:c>
      <x:c r="H33" s="20" t="n">
        <x:v>1</x:v>
      </x:c>
      <x:c r="I33" s="21" t="n">
        <x:f>IF(E33&lt;&gt;"출근",0,ROUND(MAX(0,(G33-F33)*24-H33),2))</x:f>
        <x:v>7.8</x:v>
      </x:c>
      <x:c r="J33" s="28" t="n">
        <x:f>IF(E33&lt;&gt;"출근",0,MAX(0,ROUND((F33-TIME(9,0,0))*1440,0)))</x:f>
        <x:v>12</x:v>
      </x:c>
      <x:c r="K33" s="21" t="n">
        <x:f>IF(E33&lt;&gt;"출근",0,MAX(0,I33-8))</x:f>
        <x:v>0</x:v>
      </x:c>
      <x:c r="L33" s="14" t="str">
        <x:f>IF(E33="연차","연차",IF(E33="결근","결근",IF(J33&gt;0,"지각","정상")))</x:f>
        <x:v>지각</x:v>
      </x:c>
      <x:c r="M33"/>
    </x:row>
    <x:row r="34">
      <x:c r="A34" s="16" t="n">
        <x:v>46331</x:v>
      </x:c>
      <x:c r="B34" t="str">
        <x:v>E005</x:v>
      </x:c>
      <x:c r="C34" t="str">
        <x:v>정현우</x:v>
      </x:c>
      <x:c r="D34" t="str">
        <x:v>생산</x:v>
      </x:c>
      <x:c r="E34" t="str">
        <x:v>출근</x:v>
      </x:c>
      <x:c r="F34" s="18" t="n">
        <x:v>0.375</x:v>
      </x:c>
      <x:c r="G34" s="18" t="n">
        <x:v>0.7708333333333334</x:v>
      </x:c>
      <x:c r="H34" s="20" t="n">
        <x:v>1</x:v>
      </x:c>
      <x:c r="I34" s="21" t="n">
        <x:f>IF(E34&lt;&gt;"출근",0,ROUND(MAX(0,(G34-F34)*24-H34),2))</x:f>
        <x:v>8.5</x:v>
      </x:c>
      <x:c r="J34" s="28" t="n">
        <x:f>IF(E34&lt;&gt;"출근",0,MAX(0,ROUND((F34-TIME(9,0,0))*1440,0)))</x:f>
        <x:v>0</x:v>
      </x:c>
      <x:c r="K34" s="21" t="n">
        <x:f>IF(E34&lt;&gt;"출근",0,MAX(0,I34-8))</x:f>
        <x:v>0.5</x:v>
      </x:c>
      <x:c r="L34" s="14" t="str">
        <x:f>IF(E34="연차","연차",IF(E34="결근","결근",IF(J34&gt;0,"지각","정상")))</x:f>
        <x:v>정상</x:v>
      </x:c>
      <x:c r="M34"/>
    </x:row>
    <x:row r="35">
      <x:c r="A35" s="16" t="n">
        <x:v>46331</x:v>
      </x:c>
      <x:c r="B35" t="str">
        <x:v>E006</x:v>
      </x:c>
      <x:c r="C35" t="str">
        <x:v>한유진</x:v>
      </x:c>
      <x:c r="D35" t="str">
        <x:v>영업</x:v>
      </x:c>
      <x:c r="E35" t="str">
        <x:v>출근</x:v>
      </x:c>
      <x:c r="F35" s="18" t="n">
        <x:v>0.375</x:v>
      </x:c>
      <x:c r="G35" s="18" t="n">
        <x:v>0.8125</x:v>
      </x:c>
      <x:c r="H35" s="20" t="n">
        <x:v>1</x:v>
      </x:c>
      <x:c r="I35" s="21" t="n">
        <x:f>IF(E35&lt;&gt;"출근",0,ROUND(MAX(0,(G35-F35)*24-H35),2))</x:f>
        <x:v>9.5</x:v>
      </x:c>
      <x:c r="J35" s="28" t="n">
        <x:f>IF(E35&lt;&gt;"출근",0,MAX(0,ROUND((F35-TIME(9,0,0))*1440,0)))</x:f>
        <x:v>0</x:v>
      </x:c>
      <x:c r="K35" s="21" t="n">
        <x:f>IF(E35&lt;&gt;"출근",0,MAX(0,I35-8))</x:f>
        <x:v>1.5</x:v>
      </x:c>
      <x:c r="L35" s="14" t="str">
        <x:f>IF(E35="연차","연차",IF(E35="결근","결근",IF(J35&gt;0,"지각","정상")))</x:f>
        <x:v>정상</x:v>
      </x:c>
      <x:c r="M35"/>
    </x:row>
    <x:row r="36">
      <x:c r="A36" s="16" t="n">
        <x:v>46331</x:v>
      </x:c>
      <x:c r="B36" t="str">
        <x:v>E007</x:v>
      </x:c>
      <x:c r="C36" t="str">
        <x:v>오지훈</x:v>
      </x:c>
      <x:c r="D36" t="str">
        <x:v>물류</x:v>
      </x:c>
      <x:c r="E36" t="str">
        <x:v>출근</x:v>
      </x:c>
      <x:c r="F36" s="18" t="n">
        <x:v>0.38333333333333336</x:v>
      </x:c>
      <x:c r="G36" s="18" t="n">
        <x:v>0.75</x:v>
      </x:c>
      <x:c r="H36" s="20" t="n">
        <x:v>1</x:v>
      </x:c>
      <x:c r="I36" s="21" t="n">
        <x:f>IF(E36&lt;&gt;"출근",0,ROUND(MAX(0,(G36-F36)*24-H36),2))</x:f>
        <x:v>7.8</x:v>
      </x:c>
      <x:c r="J36" s="28" t="n">
        <x:f>IF(E36&lt;&gt;"출근",0,MAX(0,ROUND((F36-TIME(9,0,0))*1440,0)))</x:f>
        <x:v>12</x:v>
      </x:c>
      <x:c r="K36" s="21" t="n">
        <x:f>IF(E36&lt;&gt;"출근",0,MAX(0,I36-8))</x:f>
        <x:v>0</x:v>
      </x:c>
      <x:c r="L36" s="14" t="str">
        <x:f>IF(E36="연차","연차",IF(E36="결근","결근",IF(J36&gt;0,"지각","정상")))</x:f>
        <x:v>지각</x:v>
      </x:c>
      <x:c r="M36"/>
    </x:row>
    <x:row r="37">
      <x:c r="A37" s="16" t="n">
        <x:v>46331</x:v>
      </x:c>
      <x:c r="B37" t="str">
        <x:v>E008</x:v>
      </x:c>
      <x:c r="C37" t="str">
        <x:v>강수빈</x:v>
      </x:c>
      <x:c r="D37" t="str">
        <x:v>총무</x:v>
      </x:c>
      <x:c r="E37" t="str">
        <x:v>출근</x:v>
      </x:c>
      <x:c r="F37" s="18" t="n">
        <x:v>0.375</x:v>
      </x:c>
      <x:c r="G37" s="18" t="n">
        <x:v>0.75</x:v>
      </x:c>
      <x:c r="H37" s="20" t="n">
        <x:v>1</x:v>
      </x:c>
      <x:c r="I37" s="21" t="n">
        <x:f>IF(E37&lt;&gt;"출근",0,ROUND(MAX(0,(G37-F37)*24-H37),2))</x:f>
        <x:v>8</x:v>
      </x:c>
      <x:c r="J37" s="28" t="n">
        <x:f>IF(E37&lt;&gt;"출근",0,MAX(0,ROUND((F37-TIME(9,0,0))*1440,0)))</x:f>
        <x:v>0</x:v>
      </x:c>
      <x:c r="K37" s="21" t="n">
        <x:f>IF(E37&lt;&gt;"출근",0,MAX(0,I37-8))</x:f>
        <x:v>0</x:v>
      </x:c>
      <x:c r="L37" s="14" t="str">
        <x:f>IF(E37="연차","연차",IF(E37="결근","결근",IF(J37&gt;0,"지각","정상")))</x:f>
        <x:v>정상</x:v>
      </x:c>
      <x:c r="M37"/>
    </x:row>
    <x:row r="38">
      <x:c r="A38" s="16" t="n">
        <x:v>46332</x:v>
      </x:c>
      <x:c r="B38" t="str">
        <x:v>E001</x:v>
      </x:c>
      <x:c r="C38" t="str">
        <x:v>김민수</x:v>
      </x:c>
      <x:c r="D38" t="str">
        <x:v>영업</x:v>
      </x:c>
      <x:c r="E38" t="str">
        <x:v>출근</x:v>
      </x:c>
      <x:c r="F38" s="18" t="n">
        <x:v>0.375</x:v>
      </x:c>
      <x:c r="G38" s="18" t="n">
        <x:v>0.7708333333333334</x:v>
      </x:c>
      <x:c r="H38" s="20" t="n">
        <x:v>1</x:v>
      </x:c>
      <x:c r="I38" s="21" t="n">
        <x:f>IF(E38&lt;&gt;"출근",0,ROUND(MAX(0,(G38-F38)*24-H38),2))</x:f>
        <x:v>8.5</x:v>
      </x:c>
      <x:c r="J38" s="28" t="n">
        <x:f>IF(E38&lt;&gt;"출근",0,MAX(0,ROUND((F38-TIME(9,0,0))*1440,0)))</x:f>
        <x:v>0</x:v>
      </x:c>
      <x:c r="K38" s="21" t="n">
        <x:f>IF(E38&lt;&gt;"출근",0,MAX(0,I38-8))</x:f>
        <x:v>0.5</x:v>
      </x:c>
      <x:c r="L38" s="14" t="str">
        <x:f>IF(E38="연차","연차",IF(E38="결근","결근",IF(J38&gt;0,"지각","정상")))</x:f>
        <x:v>정상</x:v>
      </x:c>
      <x:c r="M38"/>
    </x:row>
    <x:row r="39">
      <x:c r="A39" s="16" t="n">
        <x:v>46332</x:v>
      </x:c>
      <x:c r="B39" t="str">
        <x:v>E002</x:v>
      </x:c>
      <x:c r="C39" t="str">
        <x:v>이서연</x:v>
      </x:c>
      <x:c r="D39" t="str">
        <x:v>총무</x:v>
      </x:c>
      <x:c r="E39" t="str">
        <x:v>출근</x:v>
      </x:c>
      <x:c r="F39" s="18" t="n">
        <x:v>0.37916666666666665</x:v>
      </x:c>
      <x:c r="G39" s="18" t="n">
        <x:v>0.8125</x:v>
      </x:c>
      <x:c r="H39" s="20" t="n">
        <x:v>1</x:v>
      </x:c>
      <x:c r="I39" s="21" t="n">
        <x:f>IF(E39&lt;&gt;"출근",0,ROUND(MAX(0,(G39-F39)*24-H39),2))</x:f>
        <x:v>9.4</x:v>
      </x:c>
      <x:c r="J39" s="28" t="n">
        <x:f>IF(E39&lt;&gt;"출근",0,MAX(0,ROUND((F39-TIME(9,0,0))*1440,0)))</x:f>
        <x:v>6</x:v>
      </x:c>
      <x:c r="K39" s="21" t="n">
        <x:f>IF(E39&lt;&gt;"출근",0,MAX(0,I39-8))</x:f>
        <x:v>1.4000000000000004</x:v>
      </x:c>
      <x:c r="L39" s="14" t="str">
        <x:f>IF(E39="연차","연차",IF(E39="결근","결근",IF(J39&gt;0,"지각","정상")))</x:f>
        <x:v>지각</x:v>
      </x:c>
      <x:c r="M39"/>
    </x:row>
    <x:row r="40">
      <x:c r="A40" s="16" t="n">
        <x:v>46332</x:v>
      </x:c>
      <x:c r="B40" t="str">
        <x:v>E003</x:v>
      </x:c>
      <x:c r="C40" t="str">
        <x:v>박준호</x:v>
      </x:c>
      <x:c r="D40" t="str">
        <x:v>물류</x:v>
      </x:c>
      <x:c r="E40" t="str">
        <x:v>출근</x:v>
      </x:c>
      <x:c r="F40" s="18" t="n">
        <x:v>0.39444444444444443</x:v>
      </x:c>
      <x:c r="G40" s="18" t="n">
        <x:v>0.75</x:v>
      </x:c>
      <x:c r="H40" s="20" t="n">
        <x:v>1</x:v>
      </x:c>
      <x:c r="I40" s="21" t="n">
        <x:f>IF(E40&lt;&gt;"출근",0,ROUND(MAX(0,(G40-F40)*24-H40),2))</x:f>
        <x:v>7.53</x:v>
      </x:c>
      <x:c r="J40" s="28" t="n">
        <x:f>IF(E40&lt;&gt;"출근",0,MAX(0,ROUND((F40-TIME(9,0,0))*1440,0)))</x:f>
        <x:v>28</x:v>
      </x:c>
      <x:c r="K40" s="21" t="n">
        <x:f>IF(E40&lt;&gt;"출근",0,MAX(0,I40-8))</x:f>
        <x:v>0</x:v>
      </x:c>
      <x:c r="L40" s="14" t="str">
        <x:f>IF(E40="연차","연차",IF(E40="결근","결근",IF(J40&gt;0,"지각","정상")))</x:f>
        <x:v>지각</x:v>
      </x:c>
      <x:c r="M40"/>
    </x:row>
    <x:row r="41">
      <x:c r="A41" s="16" t="n">
        <x:v>46332</x:v>
      </x:c>
      <x:c r="B41" t="str">
        <x:v>E004</x:v>
      </x:c>
      <x:c r="C41" t="str">
        <x:v>최지은</x:v>
      </x:c>
      <x:c r="D41" t="str">
        <x:v>생산</x:v>
      </x:c>
      <x:c r="E41" t="str">
        <x:v>출근</x:v>
      </x:c>
      <x:c r="F41" s="18" t="n">
        <x:v>0.375</x:v>
      </x:c>
      <x:c r="G41" s="18" t="n">
        <x:v>0.75</x:v>
      </x:c>
      <x:c r="H41" s="20" t="n">
        <x:v>1</x:v>
      </x:c>
      <x:c r="I41" s="21" t="n">
        <x:f>IF(E41&lt;&gt;"출근",0,ROUND(MAX(0,(G41-F41)*24-H41),2))</x:f>
        <x:v>8</x:v>
      </x:c>
      <x:c r="J41" s="28" t="n">
        <x:f>IF(E41&lt;&gt;"출근",0,MAX(0,ROUND((F41-TIME(9,0,0))*1440,0)))</x:f>
        <x:v>0</x:v>
      </x:c>
      <x:c r="K41" s="21" t="n">
        <x:f>IF(E41&lt;&gt;"출근",0,MAX(0,I41-8))</x:f>
        <x:v>0</x:v>
      </x:c>
      <x:c r="L41" s="14" t="str">
        <x:f>IF(E41="연차","연차",IF(E41="결근","결근",IF(J41&gt;0,"지각","정상")))</x:f>
        <x:v>정상</x:v>
      </x:c>
      <x:c r="M41"/>
    </x:row>
    <x:row r="42">
      <x:c r="A42" s="16" t="n">
        <x:v>46332</x:v>
      </x:c>
      <x:c r="B42" t="str">
        <x:v>E005</x:v>
      </x:c>
      <x:c r="C42" t="str">
        <x:v>정현우</x:v>
      </x:c>
      <x:c r="D42" t="str">
        <x:v>생산</x:v>
      </x:c>
      <x:c r="E42" t="str">
        <x:v>출근</x:v>
      </x:c>
      <x:c r="F42" s="18" t="n">
        <x:v>0.37916666666666665</x:v>
      </x:c>
      <x:c r="G42" s="18" t="n">
        <x:v>0.7916666666666666</x:v>
      </x:c>
      <x:c r="H42" s="20" t="n">
        <x:v>1</x:v>
      </x:c>
      <x:c r="I42" s="21" t="n">
        <x:f>IF(E42&lt;&gt;"출근",0,ROUND(MAX(0,(G42-F42)*24-H42),2))</x:f>
        <x:v>8.9</x:v>
      </x:c>
      <x:c r="J42" s="28" t="n">
        <x:f>IF(E42&lt;&gt;"출근",0,MAX(0,ROUND((F42-TIME(9,0,0))*1440,0)))</x:f>
        <x:v>6</x:v>
      </x:c>
      <x:c r="K42" s="21" t="n">
        <x:f>IF(E42&lt;&gt;"출근",0,MAX(0,I42-8))</x:f>
        <x:v>0.9000000000000004</x:v>
      </x:c>
      <x:c r="L42" s="14" t="str">
        <x:f>IF(E42="연차","연차",IF(E42="결근","결근",IF(J42&gt;0,"지각","정상")))</x:f>
        <x:v>지각</x:v>
      </x:c>
      <x:c r="M42"/>
    </x:row>
    <x:row r="43">
      <x:c r="A43" s="16" t="n">
        <x:v>46332</x:v>
      </x:c>
      <x:c r="B43" t="str">
        <x:v>E006</x:v>
      </x:c>
      <x:c r="C43" t="str">
        <x:v>한유진</x:v>
      </x:c>
      <x:c r="D43" t="str">
        <x:v>영업</x:v>
      </x:c>
      <x:c r="E43" t="str">
        <x:v>출근</x:v>
      </x:c>
      <x:c r="F43" s="18" t="n">
        <x:v>0.39444444444444443</x:v>
      </x:c>
      <x:c r="G43" s="18" t="n">
        <x:v>0.75</x:v>
      </x:c>
      <x:c r="H43" s="20" t="n">
        <x:v>1</x:v>
      </x:c>
      <x:c r="I43" s="21" t="n">
        <x:f>IF(E43&lt;&gt;"출근",0,ROUND(MAX(0,(G43-F43)*24-H43),2))</x:f>
        <x:v>7.53</x:v>
      </x:c>
      <x:c r="J43" s="28" t="n">
        <x:f>IF(E43&lt;&gt;"출근",0,MAX(0,ROUND((F43-TIME(9,0,0))*1440,0)))</x:f>
        <x:v>28</x:v>
      </x:c>
      <x:c r="K43" s="21" t="n">
        <x:f>IF(E43&lt;&gt;"출근",0,MAX(0,I43-8))</x:f>
        <x:v>0</x:v>
      </x:c>
      <x:c r="L43" s="14" t="str">
        <x:f>IF(E43="연차","연차",IF(E43="결근","결근",IF(J43&gt;0,"지각","정상")))</x:f>
        <x:v>지각</x:v>
      </x:c>
      <x:c r="M43"/>
    </x:row>
    <x:row r="44">
      <x:c r="A44" s="16" t="n">
        <x:v>46332</x:v>
      </x:c>
      <x:c r="B44" t="str">
        <x:v>E007</x:v>
      </x:c>
      <x:c r="C44" t="str">
        <x:v>오지훈</x:v>
      </x:c>
      <x:c r="D44" t="str">
        <x:v>물류</x:v>
      </x:c>
      <x:c r="E44" t="str">
        <x:v>출근</x:v>
      </x:c>
      <x:c r="F44" s="18" t="n">
        <x:v>0.375</x:v>
      </x:c>
      <x:c r="G44" s="18" t="n">
        <x:v>0.75</x:v>
      </x:c>
      <x:c r="H44" s="20" t="n">
        <x:v>1</x:v>
      </x:c>
      <x:c r="I44" s="21" t="n">
        <x:f>IF(E44&lt;&gt;"출근",0,ROUND(MAX(0,(G44-F44)*24-H44),2))</x:f>
        <x:v>8</x:v>
      </x:c>
      <x:c r="J44" s="28" t="n">
        <x:f>IF(E44&lt;&gt;"출근",0,MAX(0,ROUND((F44-TIME(9,0,0))*1440,0)))</x:f>
        <x:v>0</x:v>
      </x:c>
      <x:c r="K44" s="21" t="n">
        <x:f>IF(E44&lt;&gt;"출근",0,MAX(0,I44-8))</x:f>
        <x:v>0</x:v>
      </x:c>
      <x:c r="L44" s="14" t="str">
        <x:f>IF(E44="연차","연차",IF(E44="결근","결근",IF(J44&gt;0,"지각","정상")))</x:f>
        <x:v>정상</x:v>
      </x:c>
      <x:c r="M44"/>
    </x:row>
    <x:row r="45">
      <x:c r="A45" s="16" t="n">
        <x:v>46332</x:v>
      </x:c>
      <x:c r="B45" t="str">
        <x:v>E008</x:v>
      </x:c>
      <x:c r="C45" t="str">
        <x:v>강수빈</x:v>
      </x:c>
      <x:c r="D45" t="str">
        <x:v>총무</x:v>
      </x:c>
      <x:c r="E45" t="str">
        <x:v>출근</x:v>
      </x:c>
      <x:c r="F45" s="18" t="n">
        <x:v>0.37916666666666665</x:v>
      </x:c>
      <x:c r="G45" s="18" t="n">
        <x:v>0.7708333333333334</x:v>
      </x:c>
      <x:c r="H45" s="20" t="n">
        <x:v>1</x:v>
      </x:c>
      <x:c r="I45" s="21" t="n">
        <x:f>IF(E45&lt;&gt;"출근",0,ROUND(MAX(0,(G45-F45)*24-H45),2))</x:f>
        <x:v>8.4</x:v>
      </x:c>
      <x:c r="J45" s="28" t="n">
        <x:f>IF(E45&lt;&gt;"출근",0,MAX(0,ROUND((F45-TIME(9,0,0))*1440,0)))</x:f>
        <x:v>6</x:v>
      </x:c>
      <x:c r="K45" s="21" t="n">
        <x:f>IF(E45&lt;&gt;"출근",0,MAX(0,I45-8))</x:f>
        <x:v>0.40000000000000036</x:v>
      </x:c>
      <x:c r="L45" s="14" t="str">
        <x:f>IF(E45="연차","연차",IF(E45="결근","결근",IF(J45&gt;0,"지각","정상")))</x:f>
        <x:v>지각</x:v>
      </x:c>
      <x:c r="M45"/>
    </x:row>
    <x:row r="46">
      <x:c r="A46" s="16" t="n">
        <x:v>46335</x:v>
      </x:c>
      <x:c r="B46" t="str">
        <x:v>E001</x:v>
      </x:c>
      <x:c r="C46" t="str">
        <x:v>김민수</x:v>
      </x:c>
      <x:c r="D46" t="str">
        <x:v>영업</x:v>
      </x:c>
      <x:c r="E46" t="str">
        <x:v>출근</x:v>
      </x:c>
      <x:c r="F46" s="18" t="n">
        <x:v>0.38819444444444445</x:v>
      </x:c>
      <x:c r="G46" s="18" t="n">
        <x:v>0.7916666666666666</x:v>
      </x:c>
      <x:c r="H46" s="20" t="n">
        <x:v>1</x:v>
      </x:c>
      <x:c r="I46" s="21" t="n">
        <x:f>IF(E46&lt;&gt;"출근",0,ROUND(MAX(0,(G46-F46)*24-H46),2))</x:f>
        <x:v>8.68</x:v>
      </x:c>
      <x:c r="J46" s="28" t="n">
        <x:f>IF(E46&lt;&gt;"출근",0,MAX(0,ROUND((F46-TIME(9,0,0))*1440,0)))</x:f>
        <x:v>19</x:v>
      </x:c>
      <x:c r="K46" s="21" t="n">
        <x:f>IF(E46&lt;&gt;"출근",0,MAX(0,I46-8))</x:f>
        <x:v>0.6799999999999997</x:v>
      </x:c>
      <x:c r="L46" s="14" t="str">
        <x:f>IF(E46="연차","연차",IF(E46="결근","결근",IF(J46&gt;0,"지각","정상")))</x:f>
        <x:v>지각</x:v>
      </x:c>
      <x:c r="M46"/>
    </x:row>
    <x:row r="47">
      <x:c r="A47" s="16" t="n">
        <x:v>46335</x:v>
      </x:c>
      <x:c r="B47" t="str">
        <x:v>E002</x:v>
      </x:c>
      <x:c r="C47" t="str">
        <x:v>이서연</x:v>
      </x:c>
      <x:c r="D47" t="str">
        <x:v>총무</x:v>
      </x:c>
      <x:c r="E47" t="str">
        <x:v>출근</x:v>
      </x:c>
      <x:c r="F47" s="18" t="n">
        <x:v>0.375</x:v>
      </x:c>
      <x:c r="G47" s="18" t="n">
        <x:v>0.75</x:v>
      </x:c>
      <x:c r="H47" s="20" t="n">
        <x:v>1</x:v>
      </x:c>
      <x:c r="I47" s="21" t="n">
        <x:f>IF(E47&lt;&gt;"출근",0,ROUND(MAX(0,(G47-F47)*24-H47),2))</x:f>
        <x:v>8</x:v>
      </x:c>
      <x:c r="J47" s="28" t="n">
        <x:f>IF(E47&lt;&gt;"출근",0,MAX(0,ROUND((F47-TIME(9,0,0))*1440,0)))</x:f>
        <x:v>0</x:v>
      </x:c>
      <x:c r="K47" s="21" t="n">
        <x:f>IF(E47&lt;&gt;"출근",0,MAX(0,I47-8))</x:f>
        <x:v>0</x:v>
      </x:c>
      <x:c r="L47" s="14" t="str">
        <x:f>IF(E47="연차","연차",IF(E47="결근","결근",IF(J47&gt;0,"지각","정상")))</x:f>
        <x:v>정상</x:v>
      </x:c>
      <x:c r="M47"/>
    </x:row>
    <x:row r="48">
      <x:c r="A48" s="16" t="n">
        <x:v>46335</x:v>
      </x:c>
      <x:c r="B48" t="str">
        <x:v>E003</x:v>
      </x:c>
      <x:c r="C48" t="str">
        <x:v>박준호</x:v>
      </x:c>
      <x:c r="D48" t="str">
        <x:v>물류</x:v>
      </x:c>
      <x:c r="E48" t="str">
        <x:v>출근</x:v>
      </x:c>
      <x:c r="F48" s="18" t="n">
        <x:v>0.375</x:v>
      </x:c>
      <x:c r="G48" s="18" t="n">
        <x:v>0.75</x:v>
      </x:c>
      <x:c r="H48" s="20" t="n">
        <x:v>1</x:v>
      </x:c>
      <x:c r="I48" s="21" t="n">
        <x:f>IF(E48&lt;&gt;"출근",0,ROUND(MAX(0,(G48-F48)*24-H48),2))</x:f>
        <x:v>8</x:v>
      </x:c>
      <x:c r="J48" s="28" t="n">
        <x:f>IF(E48&lt;&gt;"출근",0,MAX(0,ROUND((F48-TIME(9,0,0))*1440,0)))</x:f>
        <x:v>0</x:v>
      </x:c>
      <x:c r="K48" s="21" t="n">
        <x:f>IF(E48&lt;&gt;"출근",0,MAX(0,I48-8))</x:f>
        <x:v>0</x:v>
      </x:c>
      <x:c r="L48" s="14" t="str">
        <x:f>IF(E48="연차","연차",IF(E48="결근","결근",IF(J48&gt;0,"지각","정상")))</x:f>
        <x:v>정상</x:v>
      </x:c>
      <x:c r="M48"/>
    </x:row>
    <x:row r="49">
      <x:c r="A49" s="16" t="n">
        <x:v>46335</x:v>
      </x:c>
      <x:c r="B49" t="str">
        <x:v>E004</x:v>
      </x:c>
      <x:c r="C49" t="str">
        <x:v>최지은</x:v>
      </x:c>
      <x:c r="D49" t="str">
        <x:v>생산</x:v>
      </x:c>
      <x:c r="E49" t="str">
        <x:v>출근</x:v>
      </x:c>
      <x:c r="F49" s="18" t="n">
        <x:v>0.38819444444444445</x:v>
      </x:c>
      <x:c r="G49" s="18" t="n">
        <x:v>0.7708333333333334</x:v>
      </x:c>
      <x:c r="H49" s="20" t="n">
        <x:v>1</x:v>
      </x:c>
      <x:c r="I49" s="21" t="n">
        <x:f>IF(E49&lt;&gt;"출근",0,ROUND(MAX(0,(G49-F49)*24-H49),2))</x:f>
        <x:v>8.18</x:v>
      </x:c>
      <x:c r="J49" s="28" t="n">
        <x:f>IF(E49&lt;&gt;"출근",0,MAX(0,ROUND((F49-TIME(9,0,0))*1440,0)))</x:f>
        <x:v>19</x:v>
      </x:c>
      <x:c r="K49" s="21" t="n">
        <x:f>IF(E49&lt;&gt;"출근",0,MAX(0,I49-8))</x:f>
        <x:v>0.17999999999999972</x:v>
      </x:c>
      <x:c r="L49" s="14" t="str">
        <x:f>IF(E49="연차","연차",IF(E49="결근","결근",IF(J49&gt;0,"지각","정상")))</x:f>
        <x:v>지각</x:v>
      </x:c>
      <x:c r="M49"/>
    </x:row>
    <x:row r="50">
      <x:c r="A50" s="16" t="n">
        <x:v>46335</x:v>
      </x:c>
      <x:c r="B50" t="str">
        <x:v>E005</x:v>
      </x:c>
      <x:c r="C50" t="str">
        <x:v>정현우</x:v>
      </x:c>
      <x:c r="D50" t="str">
        <x:v>생산</x:v>
      </x:c>
      <x:c r="E50" t="str">
        <x:v>출근</x:v>
      </x:c>
      <x:c r="F50" s="18" t="n">
        <x:v>0.375</x:v>
      </x:c>
      <x:c r="G50" s="18" t="n">
        <x:v>0.8125</x:v>
      </x:c>
      <x:c r="H50" s="20" t="n">
        <x:v>1</x:v>
      </x:c>
      <x:c r="I50" s="21" t="n">
        <x:f>IF(E50&lt;&gt;"출근",0,ROUND(MAX(0,(G50-F50)*24-H50),2))</x:f>
        <x:v>9.5</x:v>
      </x:c>
      <x:c r="J50" s="28" t="n">
        <x:f>IF(E50&lt;&gt;"출근",0,MAX(0,ROUND((F50-TIME(9,0,0))*1440,0)))</x:f>
        <x:v>0</x:v>
      </x:c>
      <x:c r="K50" s="21" t="n">
        <x:f>IF(E50&lt;&gt;"출근",0,MAX(0,I50-8))</x:f>
        <x:v>1.5</x:v>
      </x:c>
      <x:c r="L50" s="14" t="str">
        <x:f>IF(E50="연차","연차",IF(E50="결근","결근",IF(J50&gt;0,"지각","정상")))</x:f>
        <x:v>정상</x:v>
      </x:c>
      <x:c r="M50"/>
    </x:row>
    <x:row r="51">
      <x:c r="A51" s="16" t="n">
        <x:v>46335</x:v>
      </x:c>
      <x:c r="B51" t="str">
        <x:v>E006</x:v>
      </x:c>
      <x:c r="C51" t="str">
        <x:v>한유진</x:v>
      </x:c>
      <x:c r="D51" t="str">
        <x:v>영업</x:v>
      </x:c>
      <x:c r="E51" t="str">
        <x:v>출근</x:v>
      </x:c>
      <x:c r="F51" s="18" t="n">
        <x:v>0.375</x:v>
      </x:c>
      <x:c r="G51" s="18" t="n">
        <x:v>0.75</x:v>
      </x:c>
      <x:c r="H51" s="20" t="n">
        <x:v>1</x:v>
      </x:c>
      <x:c r="I51" s="21" t="n">
        <x:f>IF(E51&lt;&gt;"출근",0,ROUND(MAX(0,(G51-F51)*24-H51),2))</x:f>
        <x:v>8</x:v>
      </x:c>
      <x:c r="J51" s="28" t="n">
        <x:f>IF(E51&lt;&gt;"출근",0,MAX(0,ROUND((F51-TIME(9,0,0))*1440,0)))</x:f>
        <x:v>0</x:v>
      </x:c>
      <x:c r="K51" s="21" t="n">
        <x:f>IF(E51&lt;&gt;"출근",0,MAX(0,I51-8))</x:f>
        <x:v>0</x:v>
      </x:c>
      <x:c r="L51" s="14" t="str">
        <x:f>IF(E51="연차","연차",IF(E51="결근","결근",IF(J51&gt;0,"지각","정상")))</x:f>
        <x:v>정상</x:v>
      </x:c>
      <x:c r="M51"/>
    </x:row>
    <x:row r="52">
      <x:c r="A52" s="16" t="n">
        <x:v>46335</x:v>
      </x:c>
      <x:c r="B52" t="str">
        <x:v>E007</x:v>
      </x:c>
      <x:c r="C52" t="str">
        <x:v>오지훈</x:v>
      </x:c>
      <x:c r="D52" t="str">
        <x:v>물류</x:v>
      </x:c>
      <x:c r="E52" t="str">
        <x:v>출근</x:v>
      </x:c>
      <x:c r="F52" s="18" t="n">
        <x:v>0.38819444444444445</x:v>
      </x:c>
      <x:c r="G52" s="18" t="n">
        <x:v>0.75</x:v>
      </x:c>
      <x:c r="H52" s="20" t="n">
        <x:v>1</x:v>
      </x:c>
      <x:c r="I52" s="21" t="n">
        <x:f>IF(E52&lt;&gt;"출근",0,ROUND(MAX(0,(G52-F52)*24-H52),2))</x:f>
        <x:v>7.68</x:v>
      </x:c>
      <x:c r="J52" s="28" t="n">
        <x:f>IF(E52&lt;&gt;"출근",0,MAX(0,ROUND((F52-TIME(9,0,0))*1440,0)))</x:f>
        <x:v>19</x:v>
      </x:c>
      <x:c r="K52" s="21" t="n">
        <x:f>IF(E52&lt;&gt;"출근",0,MAX(0,I52-8))</x:f>
        <x:v>0</x:v>
      </x:c>
      <x:c r="L52" s="14" t="str">
        <x:f>IF(E52="연차","연차",IF(E52="결근","결근",IF(J52&gt;0,"지각","정상")))</x:f>
        <x:v>지각</x:v>
      </x:c>
      <x:c r="M52"/>
    </x:row>
    <x:row r="53">
      <x:c r="A53" s="16" t="n">
        <x:v>46335</x:v>
      </x:c>
      <x:c r="B53" t="str">
        <x:v>E008</x:v>
      </x:c>
      <x:c r="C53" t="str">
        <x:v>강수빈</x:v>
      </x:c>
      <x:c r="D53" t="str">
        <x:v>총무</x:v>
      </x:c>
      <x:c r="E53" t="str">
        <x:v>출근</x:v>
      </x:c>
      <x:c r="F53" s="18" t="n">
        <x:v>0.375</x:v>
      </x:c>
      <x:c r="G53" s="18" t="n">
        <x:v>0.7916666666666666</x:v>
      </x:c>
      <x:c r="H53" s="20" t="n">
        <x:v>1</x:v>
      </x:c>
      <x:c r="I53" s="21" t="n">
        <x:f>IF(E53&lt;&gt;"출근",0,ROUND(MAX(0,(G53-F53)*24-H53),2))</x:f>
        <x:v>9</x:v>
      </x:c>
      <x:c r="J53" s="28" t="n">
        <x:f>IF(E53&lt;&gt;"출근",0,MAX(0,ROUND((F53-TIME(9,0,0))*1440,0)))</x:f>
        <x:v>0</x:v>
      </x:c>
      <x:c r="K53" s="21" t="n">
        <x:f>IF(E53&lt;&gt;"출근",0,MAX(0,I53-8))</x:f>
        <x:v>1</x:v>
      </x:c>
      <x:c r="L53" s="14" t="str">
        <x:f>IF(E53="연차","연차",IF(E53="결근","결근",IF(J53&gt;0,"지각","정상")))</x:f>
        <x:v>정상</x:v>
      </x:c>
      <x:c r="M53"/>
    </x:row>
    <x:row r="54">
      <x:c r="A54" s="16" t="n">
        <x:v>46336</x:v>
      </x:c>
      <x:c r="B54" t="str">
        <x:v>E001</x:v>
      </x:c>
      <x:c r="C54" t="str">
        <x:v>김민수</x:v>
      </x:c>
      <x:c r="D54" t="str">
        <x:v>영업</x:v>
      </x:c>
      <x:c r="E54" t="str">
        <x:v>출근</x:v>
      </x:c>
      <x:c r="F54" s="18" t="n">
        <x:v>0.375</x:v>
      </x:c>
      <x:c r="G54" s="18" t="n">
        <x:v>0.8125</x:v>
      </x:c>
      <x:c r="H54" s="20" t="n">
        <x:v>1</x:v>
      </x:c>
      <x:c r="I54" s="21" t="n">
        <x:f>IF(E54&lt;&gt;"출근",0,ROUND(MAX(0,(G54-F54)*24-H54),2))</x:f>
        <x:v>9.5</x:v>
      </x:c>
      <x:c r="J54" s="28" t="n">
        <x:f>IF(E54&lt;&gt;"출근",0,MAX(0,ROUND((F54-TIME(9,0,0))*1440,0)))</x:f>
        <x:v>0</x:v>
      </x:c>
      <x:c r="K54" s="21" t="n">
        <x:f>IF(E54&lt;&gt;"출근",0,MAX(0,I54-8))</x:f>
        <x:v>1.5</x:v>
      </x:c>
      <x:c r="L54" s="14" t="str">
        <x:f>IF(E54="연차","연차",IF(E54="결근","결근",IF(J54&gt;0,"지각","정상")))</x:f>
        <x:v>정상</x:v>
      </x:c>
      <x:c r="M54"/>
    </x:row>
    <x:row r="55">
      <x:c r="A55" s="16" t="n">
        <x:v>46336</x:v>
      </x:c>
      <x:c r="B55" t="str">
        <x:v>E002</x:v>
      </x:c>
      <x:c r="C55" t="str">
        <x:v>이서연</x:v>
      </x:c>
      <x:c r="D55" t="str">
        <x:v>총무</x:v>
      </x:c>
      <x:c r="E55" t="str">
        <x:v>출근</x:v>
      </x:c>
      <x:c r="F55" s="18" t="n">
        <x:v>0.38333333333333336</x:v>
      </x:c>
      <x:c r="G55" s="18" t="n">
        <x:v>0.75</x:v>
      </x:c>
      <x:c r="H55" s="20" t="n">
        <x:v>1</x:v>
      </x:c>
      <x:c r="I55" s="21" t="n">
        <x:f>IF(E55&lt;&gt;"출근",0,ROUND(MAX(0,(G55-F55)*24-H55),2))</x:f>
        <x:v>7.8</x:v>
      </x:c>
      <x:c r="J55" s="28" t="n">
        <x:f>IF(E55&lt;&gt;"출근",0,MAX(0,ROUND((F55-TIME(9,0,0))*1440,0)))</x:f>
        <x:v>12</x:v>
      </x:c>
      <x:c r="K55" s="21" t="n">
        <x:f>IF(E55&lt;&gt;"출근",0,MAX(0,I55-8))</x:f>
        <x:v>0</x:v>
      </x:c>
      <x:c r="L55" s="14" t="str">
        <x:f>IF(E55="연차","연차",IF(E55="결근","결근",IF(J55&gt;0,"지각","정상")))</x:f>
        <x:v>지각</x:v>
      </x:c>
      <x:c r="M55"/>
    </x:row>
    <x:row r="56">
      <x:c r="A56" s="16" t="n">
        <x:v>46336</x:v>
      </x:c>
      <x:c r="B56" t="str">
        <x:v>E003</x:v>
      </x:c>
      <x:c r="C56" t="str">
        <x:v>박준호</x:v>
      </x:c>
      <x:c r="D56" t="str">
        <x:v>물류</x:v>
      </x:c>
      <x:c r="E56" t="str">
        <x:v>출근</x:v>
      </x:c>
      <x:c r="F56" s="18" t="n">
        <x:v>0.375</x:v>
      </x:c>
      <x:c r="G56" s="18" t="n">
        <x:v>0.75</x:v>
      </x:c>
      <x:c r="H56" s="20" t="n">
        <x:v>1</x:v>
      </x:c>
      <x:c r="I56" s="21" t="n">
        <x:f>IF(E56&lt;&gt;"출근",0,ROUND(MAX(0,(G56-F56)*24-H56),2))</x:f>
        <x:v>8</x:v>
      </x:c>
      <x:c r="J56" s="28" t="n">
        <x:f>IF(E56&lt;&gt;"출근",0,MAX(0,ROUND((F56-TIME(9,0,0))*1440,0)))</x:f>
        <x:v>0</x:v>
      </x:c>
      <x:c r="K56" s="21" t="n">
        <x:f>IF(E56&lt;&gt;"출근",0,MAX(0,I56-8))</x:f>
        <x:v>0</x:v>
      </x:c>
      <x:c r="L56" s="14" t="str">
        <x:f>IF(E56="연차","연차",IF(E56="결근","결근",IF(J56&gt;0,"지각","정상")))</x:f>
        <x:v>정상</x:v>
      </x:c>
      <x:c r="M56"/>
    </x:row>
    <x:row r="57">
      <x:c r="A57" s="16" t="n">
        <x:v>46336</x:v>
      </x:c>
      <x:c r="B57" t="str">
        <x:v>E004</x:v>
      </x:c>
      <x:c r="C57" t="str">
        <x:v>최지은</x:v>
      </x:c>
      <x:c r="D57" t="str">
        <x:v>생산</x:v>
      </x:c>
      <x:c r="E57" t="str">
        <x:v>출근</x:v>
      </x:c>
      <x:c r="F57" s="18" t="n">
        <x:v>0.375</x:v>
      </x:c>
      <x:c r="G57" s="18" t="n">
        <x:v>0.7916666666666666</x:v>
      </x:c>
      <x:c r="H57" s="20" t="n">
        <x:v>1</x:v>
      </x:c>
      <x:c r="I57" s="21" t="n">
        <x:f>IF(E57&lt;&gt;"출근",0,ROUND(MAX(0,(G57-F57)*24-H57),2))</x:f>
        <x:v>9</x:v>
      </x:c>
      <x:c r="J57" s="28" t="n">
        <x:f>IF(E57&lt;&gt;"출근",0,MAX(0,ROUND((F57-TIME(9,0,0))*1440,0)))</x:f>
        <x:v>0</x:v>
      </x:c>
      <x:c r="K57" s="21" t="n">
        <x:f>IF(E57&lt;&gt;"출근",0,MAX(0,I57-8))</x:f>
        <x:v>1</x:v>
      </x:c>
      <x:c r="L57" s="14" t="str">
        <x:f>IF(E57="연차","연차",IF(E57="결근","결근",IF(J57&gt;0,"지각","정상")))</x:f>
        <x:v>정상</x:v>
      </x:c>
      <x:c r="M57"/>
    </x:row>
    <x:row r="58">
      <x:c r="A58" s="16" t="n">
        <x:v>46336</x:v>
      </x:c>
      <x:c r="B58" t="str">
        <x:v>E005</x:v>
      </x:c>
      <x:c r="C58" t="str">
        <x:v>정현우</x:v>
      </x:c>
      <x:c r="D58" t="str">
        <x:v>생산</x:v>
      </x:c>
      <x:c r="E58" t="str">
        <x:v>연차</x:v>
      </x:c>
      <x:c r="F58" s="18"/>
      <x:c r="G58" s="18"/>
      <x:c r="H58" s="20" t="n">
        <x:v>0</x:v>
      </x:c>
      <x:c r="I58" s="21" t="n">
        <x:f>IF(E58&lt;&gt;"출근",0,ROUND(MAX(0,(G58-F58)*24-H58),2))</x:f>
        <x:v>0</x:v>
      </x:c>
      <x:c r="J58" s="28" t="n">
        <x:f>IF(E58&lt;&gt;"출근",0,MAX(0,ROUND((F58-TIME(9,0,0))*1440,0)))</x:f>
        <x:v>0</x:v>
      </x:c>
      <x:c r="K58" s="21" t="n">
        <x:f>IF(E58&lt;&gt;"출근",0,MAX(0,I58-8))</x:f>
        <x:v>0</x:v>
      </x:c>
      <x:c r="L58" s="14" t="str">
        <x:f>IF(E58="연차","연차",IF(E58="결근","결근",IF(J58&gt;0,"지각","정상")))</x:f>
        <x:v>연차</x:v>
      </x:c>
      <x:c r="M58"/>
    </x:row>
    <x:row r="59">
      <x:c r="A59" s="16" t="n">
        <x:v>46336</x:v>
      </x:c>
      <x:c r="B59" t="str">
        <x:v>E006</x:v>
      </x:c>
      <x:c r="C59" t="str">
        <x:v>한유진</x:v>
      </x:c>
      <x:c r="D59" t="str">
        <x:v>영업</x:v>
      </x:c>
      <x:c r="E59" t="str">
        <x:v>출근</x:v>
      </x:c>
      <x:c r="F59" s="18" t="n">
        <x:v>0.375</x:v>
      </x:c>
      <x:c r="G59" s="18" t="n">
        <x:v>0.75</x:v>
      </x:c>
      <x:c r="H59" s="20" t="n">
        <x:v>1</x:v>
      </x:c>
      <x:c r="I59" s="21" t="n">
        <x:f>IF(E59&lt;&gt;"출근",0,ROUND(MAX(0,(G59-F59)*24-H59),2))</x:f>
        <x:v>8</x:v>
      </x:c>
      <x:c r="J59" s="28" t="n">
        <x:f>IF(E59&lt;&gt;"출근",0,MAX(0,ROUND((F59-TIME(9,0,0))*1440,0)))</x:f>
        <x:v>0</x:v>
      </x:c>
      <x:c r="K59" s="21" t="n">
        <x:f>IF(E59&lt;&gt;"출근",0,MAX(0,I59-8))</x:f>
        <x:v>0</x:v>
      </x:c>
      <x:c r="L59" s="14" t="str">
        <x:f>IF(E59="연차","연차",IF(E59="결근","결근",IF(J59&gt;0,"지각","정상")))</x:f>
        <x:v>정상</x:v>
      </x:c>
      <x:c r="M59"/>
    </x:row>
    <x:row r="60">
      <x:c r="A60" s="16" t="n">
        <x:v>46336</x:v>
      </x:c>
      <x:c r="B60" t="str">
        <x:v>E007</x:v>
      </x:c>
      <x:c r="C60" t="str">
        <x:v>오지훈</x:v>
      </x:c>
      <x:c r="D60" t="str">
        <x:v>물류</x:v>
      </x:c>
      <x:c r="E60" t="str">
        <x:v>출근</x:v>
      </x:c>
      <x:c r="F60" s="18" t="n">
        <x:v>0.375</x:v>
      </x:c>
      <x:c r="G60" s="18" t="n">
        <x:v>0.7708333333333334</x:v>
      </x:c>
      <x:c r="H60" s="20" t="n">
        <x:v>1</x:v>
      </x:c>
      <x:c r="I60" s="21" t="n">
        <x:f>IF(E60&lt;&gt;"출근",0,ROUND(MAX(0,(G60-F60)*24-H60),2))</x:f>
        <x:v>8.5</x:v>
      </x:c>
      <x:c r="J60" s="28" t="n">
        <x:f>IF(E60&lt;&gt;"출근",0,MAX(0,ROUND((F60-TIME(9,0,0))*1440,0)))</x:f>
        <x:v>0</x:v>
      </x:c>
      <x:c r="K60" s="21" t="n">
        <x:f>IF(E60&lt;&gt;"출근",0,MAX(0,I60-8))</x:f>
        <x:v>0.5</x:v>
      </x:c>
      <x:c r="L60" s="14" t="str">
        <x:f>IF(E60="연차","연차",IF(E60="결근","결근",IF(J60&gt;0,"지각","정상")))</x:f>
        <x:v>정상</x:v>
      </x:c>
      <x:c r="M60"/>
    </x:row>
    <x:row r="61">
      <x:c r="A61" s="16" t="n">
        <x:v>46336</x:v>
      </x:c>
      <x:c r="B61" t="str">
        <x:v>E008</x:v>
      </x:c>
      <x:c r="C61" t="str">
        <x:v>강수빈</x:v>
      </x:c>
      <x:c r="D61" t="str">
        <x:v>총무</x:v>
      </x:c>
      <x:c r="E61" t="str">
        <x:v>출근</x:v>
      </x:c>
      <x:c r="F61" s="18" t="n">
        <x:v>0.38333333333333336</x:v>
      </x:c>
      <x:c r="G61" s="18" t="n">
        <x:v>0.8125</x:v>
      </x:c>
      <x:c r="H61" s="20" t="n">
        <x:v>1</x:v>
      </x:c>
      <x:c r="I61" s="21" t="n">
        <x:f>IF(E61&lt;&gt;"출근",0,ROUND(MAX(0,(G61-F61)*24-H61),2))</x:f>
        <x:v>9.3</x:v>
      </x:c>
      <x:c r="J61" s="28" t="n">
        <x:f>IF(E61&lt;&gt;"출근",0,MAX(0,ROUND((F61-TIME(9,0,0))*1440,0)))</x:f>
        <x:v>12</x:v>
      </x:c>
      <x:c r="K61" s="21" t="n">
        <x:f>IF(E61&lt;&gt;"출근",0,MAX(0,I61-8))</x:f>
        <x:v>1.3000000000000007</x:v>
      </x:c>
      <x:c r="L61" s="14" t="str">
        <x:f>IF(E61="연차","연차",IF(E61="결근","결근",IF(J61&gt;0,"지각","정상")))</x:f>
        <x:v>지각</x:v>
      </x:c>
      <x:c r="M61"/>
    </x:row>
    <x:row r="62">
      <x:c r="A62" s="16" t="n">
        <x:v>46337</x:v>
      </x:c>
      <x:c r="B62" t="str">
        <x:v>E001</x:v>
      </x:c>
      <x:c r="C62" t="str">
        <x:v>김민수</x:v>
      </x:c>
      <x:c r="D62" t="str">
        <x:v>영업</x:v>
      </x:c>
      <x:c r="E62" t="str">
        <x:v>출근</x:v>
      </x:c>
      <x:c r="F62" s="18" t="n">
        <x:v>0.39444444444444443</x:v>
      </x:c>
      <x:c r="G62" s="18" t="n">
        <x:v>0.75</x:v>
      </x:c>
      <x:c r="H62" s="20" t="n">
        <x:v>1</x:v>
      </x:c>
      <x:c r="I62" s="21" t="n">
        <x:f>IF(E62&lt;&gt;"출근",0,ROUND(MAX(0,(G62-F62)*24-H62),2))</x:f>
        <x:v>7.53</x:v>
      </x:c>
      <x:c r="J62" s="28" t="n">
        <x:f>IF(E62&lt;&gt;"출근",0,MAX(0,ROUND((F62-TIME(9,0,0))*1440,0)))</x:f>
        <x:v>28</x:v>
      </x:c>
      <x:c r="K62" s="21" t="n">
        <x:f>IF(E62&lt;&gt;"출근",0,MAX(0,I62-8))</x:f>
        <x:v>0</x:v>
      </x:c>
      <x:c r="L62" s="14" t="str">
        <x:f>IF(E62="연차","연차",IF(E62="결근","결근",IF(J62&gt;0,"지각","정상")))</x:f>
        <x:v>지각</x:v>
      </x:c>
      <x:c r="M62"/>
    </x:row>
    <x:row r="63">
      <x:c r="A63" s="16" t="n">
        <x:v>46337</x:v>
      </x:c>
      <x:c r="B63" t="str">
        <x:v>E002</x:v>
      </x:c>
      <x:c r="C63" t="str">
        <x:v>이서연</x:v>
      </x:c>
      <x:c r="D63" t="str">
        <x:v>총무</x:v>
      </x:c>
      <x:c r="E63" t="str">
        <x:v>출근</x:v>
      </x:c>
      <x:c r="F63" s="18" t="n">
        <x:v>0.375</x:v>
      </x:c>
      <x:c r="G63" s="18" t="n">
        <x:v>0.75</x:v>
      </x:c>
      <x:c r="H63" s="20" t="n">
        <x:v>1</x:v>
      </x:c>
      <x:c r="I63" s="21" t="n">
        <x:f>IF(E63&lt;&gt;"출근",0,ROUND(MAX(0,(G63-F63)*24-H63),2))</x:f>
        <x:v>8</x:v>
      </x:c>
      <x:c r="J63" s="28" t="n">
        <x:f>IF(E63&lt;&gt;"출근",0,MAX(0,ROUND((F63-TIME(9,0,0))*1440,0)))</x:f>
        <x:v>0</x:v>
      </x:c>
      <x:c r="K63" s="21" t="n">
        <x:f>IF(E63&lt;&gt;"출근",0,MAX(0,I63-8))</x:f>
        <x:v>0</x:v>
      </x:c>
      <x:c r="L63" s="14" t="str">
        <x:f>IF(E63="연차","연차",IF(E63="결근","결근",IF(J63&gt;0,"지각","정상")))</x:f>
        <x:v>정상</x:v>
      </x:c>
      <x:c r="M63"/>
    </x:row>
    <x:row r="64">
      <x:c r="A64" s="16" t="n">
        <x:v>46337</x:v>
      </x:c>
      <x:c r="B64" t="str">
        <x:v>E003</x:v>
      </x:c>
      <x:c r="C64" t="str">
        <x:v>박준호</x:v>
      </x:c>
      <x:c r="D64" t="str">
        <x:v>물류</x:v>
      </x:c>
      <x:c r="E64" t="str">
        <x:v>출근</x:v>
      </x:c>
      <x:c r="F64" s="18" t="n">
        <x:v>0.37916666666666665</x:v>
      </x:c>
      <x:c r="G64" s="18" t="n">
        <x:v>0.7708333333333334</x:v>
      </x:c>
      <x:c r="H64" s="20" t="n">
        <x:v>1</x:v>
      </x:c>
      <x:c r="I64" s="21" t="n">
        <x:f>IF(E64&lt;&gt;"출근",0,ROUND(MAX(0,(G64-F64)*24-H64),2))</x:f>
        <x:v>8.4</x:v>
      </x:c>
      <x:c r="J64" s="28" t="n">
        <x:f>IF(E64&lt;&gt;"출근",0,MAX(0,ROUND((F64-TIME(9,0,0))*1440,0)))</x:f>
        <x:v>6</x:v>
      </x:c>
      <x:c r="K64" s="21" t="n">
        <x:f>IF(E64&lt;&gt;"출근",0,MAX(0,I64-8))</x:f>
        <x:v>0.40000000000000036</x:v>
      </x:c>
      <x:c r="L64" s="14" t="str">
        <x:f>IF(E64="연차","연차",IF(E64="결근","결근",IF(J64&gt;0,"지각","정상")))</x:f>
        <x:v>지각</x:v>
      </x:c>
      <x:c r="M64"/>
    </x:row>
    <x:row r="65">
      <x:c r="A65" s="16" t="n">
        <x:v>46337</x:v>
      </x:c>
      <x:c r="B65" t="str">
        <x:v>E004</x:v>
      </x:c>
      <x:c r="C65" t="str">
        <x:v>최지은</x:v>
      </x:c>
      <x:c r="D65" t="str">
        <x:v>생산</x:v>
      </x:c>
      <x:c r="E65" t="str">
        <x:v>출근</x:v>
      </x:c>
      <x:c r="F65" s="18" t="n">
        <x:v>0.39444444444444443</x:v>
      </x:c>
      <x:c r="G65" s="18" t="n">
        <x:v>0.8125</x:v>
      </x:c>
      <x:c r="H65" s="20" t="n">
        <x:v>1</x:v>
      </x:c>
      <x:c r="I65" s="21" t="n">
        <x:f>IF(E65&lt;&gt;"출근",0,ROUND(MAX(0,(G65-F65)*24-H65),2))</x:f>
        <x:v>9.03</x:v>
      </x:c>
      <x:c r="J65" s="28" t="n">
        <x:f>IF(E65&lt;&gt;"출근",0,MAX(0,ROUND((F65-TIME(9,0,0))*1440,0)))</x:f>
        <x:v>28</x:v>
      </x:c>
      <x:c r="K65" s="21" t="n">
        <x:f>IF(E65&lt;&gt;"출근",0,MAX(0,I65-8))</x:f>
        <x:v>1.0299999999999994</x:v>
      </x:c>
      <x:c r="L65" s="14" t="str">
        <x:f>IF(E65="연차","연차",IF(E65="결근","결근",IF(J65&gt;0,"지각","정상")))</x:f>
        <x:v>지각</x:v>
      </x:c>
      <x:c r="M65"/>
    </x:row>
    <x:row r="66">
      <x:c r="A66" s="16" t="n">
        <x:v>46337</x:v>
      </x:c>
      <x:c r="B66" t="str">
        <x:v>E005</x:v>
      </x:c>
      <x:c r="C66" t="str">
        <x:v>정현우</x:v>
      </x:c>
      <x:c r="D66" t="str">
        <x:v>생산</x:v>
      </x:c>
      <x:c r="E66" t="str">
        <x:v>결근</x:v>
      </x:c>
      <x:c r="F66" s="18"/>
      <x:c r="G66" s="18"/>
      <x:c r="H66" s="20" t="n">
        <x:v>0</x:v>
      </x:c>
      <x:c r="I66" s="21" t="n">
        <x:f>IF(E66&lt;&gt;"출근",0,ROUND(MAX(0,(G66-F66)*24-H66),2))</x:f>
        <x:v>0</x:v>
      </x:c>
      <x:c r="J66" s="28" t="n">
        <x:f>IF(E66&lt;&gt;"출근",0,MAX(0,ROUND((F66-TIME(9,0,0))*1440,0)))</x:f>
        <x:v>0</x:v>
      </x:c>
      <x:c r="K66" s="21" t="n">
        <x:f>IF(E66&lt;&gt;"출근",0,MAX(0,I66-8))</x:f>
        <x:v>0</x:v>
      </x:c>
      <x:c r="L66" s="14" t="str">
        <x:f>IF(E66="연차","연차",IF(E66="결근","결근",IF(J66&gt;0,"지각","정상")))</x:f>
        <x:v>결근</x:v>
      </x:c>
      <x:c r="M66"/>
    </x:row>
    <x:row r="67">
      <x:c r="A67" s="16" t="n">
        <x:v>46337</x:v>
      </x:c>
      <x:c r="B67" t="str">
        <x:v>E006</x:v>
      </x:c>
      <x:c r="C67" t="str">
        <x:v>한유진</x:v>
      </x:c>
      <x:c r="D67" t="str">
        <x:v>영업</x:v>
      </x:c>
      <x:c r="E67" t="str">
        <x:v>출근</x:v>
      </x:c>
      <x:c r="F67" s="18" t="n">
        <x:v>0.37916666666666665</x:v>
      </x:c>
      <x:c r="G67" s="18" t="n">
        <x:v>0.75</x:v>
      </x:c>
      <x:c r="H67" s="20" t="n">
        <x:v>1</x:v>
      </x:c>
      <x:c r="I67" s="21" t="n">
        <x:f>IF(E67&lt;&gt;"출근",0,ROUND(MAX(0,(G67-F67)*24-H67),2))</x:f>
        <x:v>7.9</x:v>
      </x:c>
      <x:c r="J67" s="28" t="n">
        <x:f>IF(E67&lt;&gt;"출근",0,MAX(0,ROUND((F67-TIME(9,0,0))*1440,0)))</x:f>
        <x:v>6</x:v>
      </x:c>
      <x:c r="K67" s="21" t="n">
        <x:f>IF(E67&lt;&gt;"출근",0,MAX(0,I67-8))</x:f>
        <x:v>0</x:v>
      </x:c>
      <x:c r="L67" s="14" t="str">
        <x:f>IF(E67="연차","연차",IF(E67="결근","결근",IF(J67&gt;0,"지각","정상")))</x:f>
        <x:v>지각</x:v>
      </x:c>
      <x:c r="M67"/>
    </x:row>
    <x:row r="68">
      <x:c r="A68" s="16" t="n">
        <x:v>46337</x:v>
      </x:c>
      <x:c r="B68" t="str">
        <x:v>E007</x:v>
      </x:c>
      <x:c r="C68" t="str">
        <x:v>오지훈</x:v>
      </x:c>
      <x:c r="D68" t="str">
        <x:v>물류</x:v>
      </x:c>
      <x:c r="E68" t="str">
        <x:v>출근</x:v>
      </x:c>
      <x:c r="F68" s="18" t="n">
        <x:v>0.39444444444444443</x:v>
      </x:c>
      <x:c r="G68" s="18" t="n">
        <x:v>0.7916666666666666</x:v>
      </x:c>
      <x:c r="H68" s="20" t="n">
        <x:v>1</x:v>
      </x:c>
      <x:c r="I68" s="21" t="n">
        <x:f>IF(E68&lt;&gt;"출근",0,ROUND(MAX(0,(G68-F68)*24-H68),2))</x:f>
        <x:v>8.53</x:v>
      </x:c>
      <x:c r="J68" s="28" t="n">
        <x:f>IF(E68&lt;&gt;"출근",0,MAX(0,ROUND((F68-TIME(9,0,0))*1440,0)))</x:f>
        <x:v>28</x:v>
      </x:c>
      <x:c r="K68" s="21" t="n">
        <x:f>IF(E68&lt;&gt;"출근",0,MAX(0,I68-8))</x:f>
        <x:v>0.5299999999999994</x:v>
      </x:c>
      <x:c r="L68" s="14" t="str">
        <x:f>IF(E68="연차","연차",IF(E68="결근","결근",IF(J68&gt;0,"지각","정상")))</x:f>
        <x:v>지각</x:v>
      </x:c>
      <x:c r="M68"/>
    </x:row>
    <x:row r="69">
      <x:c r="A69" s="16" t="n">
        <x:v>46337</x:v>
      </x:c>
      <x:c r="B69" t="str">
        <x:v>E008</x:v>
      </x:c>
      <x:c r="C69" t="str">
        <x:v>강수빈</x:v>
      </x:c>
      <x:c r="D69" t="str">
        <x:v>총무</x:v>
      </x:c>
      <x:c r="E69" t="str">
        <x:v>출근</x:v>
      </x:c>
      <x:c r="F69" s="18" t="n">
        <x:v>0.375</x:v>
      </x:c>
      <x:c r="G69" s="18" t="n">
        <x:v>0.75</x:v>
      </x:c>
      <x:c r="H69" s="20" t="n">
        <x:v>1</x:v>
      </x:c>
      <x:c r="I69" s="21" t="n">
        <x:f>IF(E69&lt;&gt;"출근",0,ROUND(MAX(0,(G69-F69)*24-H69),2))</x:f>
        <x:v>8</x:v>
      </x:c>
      <x:c r="J69" s="28" t="n">
        <x:f>IF(E69&lt;&gt;"출근",0,MAX(0,ROUND((F69-TIME(9,0,0))*1440,0)))</x:f>
        <x:v>0</x:v>
      </x:c>
      <x:c r="K69" s="21" t="n">
        <x:f>IF(E69&lt;&gt;"출근",0,MAX(0,I69-8))</x:f>
        <x:v>0</x:v>
      </x:c>
      <x:c r="L69" s="14" t="str">
        <x:f>IF(E69="연차","연차",IF(E69="결근","결근",IF(J69&gt;0,"지각","정상")))</x:f>
        <x:v>정상</x:v>
      </x:c>
      <x:c r="M69"/>
    </x:row>
    <x:row r="70">
      <x:c r="A70" s="16" t="n">
        <x:v>46338</x:v>
      </x:c>
      <x:c r="B70" t="str">
        <x:v>E001</x:v>
      </x:c>
      <x:c r="C70" t="str">
        <x:v>김민수</x:v>
      </x:c>
      <x:c r="D70" t="str">
        <x:v>영업</x:v>
      </x:c>
      <x:c r="E70" t="str">
        <x:v>출근</x:v>
      </x:c>
      <x:c r="F70" s="18" t="n">
        <x:v>0.375</x:v>
      </x:c>
      <x:c r="G70" s="18" t="n">
        <x:v>0.75</x:v>
      </x:c>
      <x:c r="H70" s="20" t="n">
        <x:v>1</x:v>
      </x:c>
      <x:c r="I70" s="21" t="n">
        <x:f>IF(E70&lt;&gt;"출근",0,ROUND(MAX(0,(G70-F70)*24-H70),2))</x:f>
        <x:v>8</x:v>
      </x:c>
      <x:c r="J70" s="28" t="n">
        <x:f>IF(E70&lt;&gt;"출근",0,MAX(0,ROUND((F70-TIME(9,0,0))*1440,0)))</x:f>
        <x:v>0</x:v>
      </x:c>
      <x:c r="K70" s="21" t="n">
        <x:f>IF(E70&lt;&gt;"출근",0,MAX(0,I70-8))</x:f>
        <x:v>0</x:v>
      </x:c>
      <x:c r="L70" s="14" t="str">
        <x:f>IF(E70="연차","연차",IF(E70="결근","결근",IF(J70&gt;0,"지각","정상")))</x:f>
        <x:v>정상</x:v>
      </x:c>
      <x:c r="M70"/>
    </x:row>
    <x:row r="71">
      <x:c r="A71" s="16" t="n">
        <x:v>46338</x:v>
      </x:c>
      <x:c r="B71" t="str">
        <x:v>E002</x:v>
      </x:c>
      <x:c r="C71" t="str">
        <x:v>이서연</x:v>
      </x:c>
      <x:c r="D71" t="str">
        <x:v>총무</x:v>
      </x:c>
      <x:c r="E71" t="str">
        <x:v>출근</x:v>
      </x:c>
      <x:c r="F71" s="18" t="n">
        <x:v>0.38819444444444445</x:v>
      </x:c>
      <x:c r="G71" s="18" t="n">
        <x:v>0.75</x:v>
      </x:c>
      <x:c r="H71" s="20" t="n">
        <x:v>1</x:v>
      </x:c>
      <x:c r="I71" s="21" t="n">
        <x:f>IF(E71&lt;&gt;"출근",0,ROUND(MAX(0,(G71-F71)*24-H71),2))</x:f>
        <x:v>7.68</x:v>
      </x:c>
      <x:c r="J71" s="28" t="n">
        <x:f>IF(E71&lt;&gt;"출근",0,MAX(0,ROUND((F71-TIME(9,0,0))*1440,0)))</x:f>
        <x:v>19</x:v>
      </x:c>
      <x:c r="K71" s="21" t="n">
        <x:f>IF(E71&lt;&gt;"출근",0,MAX(0,I71-8))</x:f>
        <x:v>0</x:v>
      </x:c>
      <x:c r="L71" s="14" t="str">
        <x:f>IF(E71="연차","연차",IF(E71="결근","결근",IF(J71&gt;0,"지각","정상")))</x:f>
        <x:v>지각</x:v>
      </x:c>
      <x:c r="M71"/>
    </x:row>
    <x:row r="72">
      <x:c r="A72" s="16" t="n">
        <x:v>46338</x:v>
      </x:c>
      <x:c r="B72" t="str">
        <x:v>E003</x:v>
      </x:c>
      <x:c r="C72" t="str">
        <x:v>박준호</x:v>
      </x:c>
      <x:c r="D72" t="str">
        <x:v>물류</x:v>
      </x:c>
      <x:c r="E72" t="str">
        <x:v>출근</x:v>
      </x:c>
      <x:c r="F72" s="18" t="n">
        <x:v>0.375</x:v>
      </x:c>
      <x:c r="G72" s="18" t="n">
        <x:v>0.7916666666666666</x:v>
      </x:c>
      <x:c r="H72" s="20" t="n">
        <x:v>1</x:v>
      </x:c>
      <x:c r="I72" s="21" t="n">
        <x:f>IF(E72&lt;&gt;"출근",0,ROUND(MAX(0,(G72-F72)*24-H72),2))</x:f>
        <x:v>9</x:v>
      </x:c>
      <x:c r="J72" s="28" t="n">
        <x:f>IF(E72&lt;&gt;"출근",0,MAX(0,ROUND((F72-TIME(9,0,0))*1440,0)))</x:f>
        <x:v>0</x:v>
      </x:c>
      <x:c r="K72" s="21" t="n">
        <x:f>IF(E72&lt;&gt;"출근",0,MAX(0,I72-8))</x:f>
        <x:v>1</x:v>
      </x:c>
      <x:c r="L72" s="14" t="str">
        <x:f>IF(E72="연차","연차",IF(E72="결근","결근",IF(J72&gt;0,"지각","정상")))</x:f>
        <x:v>정상</x:v>
      </x:c>
      <x:c r="M72"/>
    </x:row>
    <x:row r="73">
      <x:c r="A73" s="16" t="n">
        <x:v>46338</x:v>
      </x:c>
      <x:c r="B73" t="str">
        <x:v>E004</x:v>
      </x:c>
      <x:c r="C73" t="str">
        <x:v>최지은</x:v>
      </x:c>
      <x:c r="D73" t="str">
        <x:v>생산</x:v>
      </x:c>
      <x:c r="E73" t="str">
        <x:v>출근</x:v>
      </x:c>
      <x:c r="F73" s="18" t="n">
        <x:v>0.375</x:v>
      </x:c>
      <x:c r="G73" s="18" t="n">
        <x:v>0.75</x:v>
      </x:c>
      <x:c r="H73" s="20" t="n">
        <x:v>1</x:v>
      </x:c>
      <x:c r="I73" s="21" t="n">
        <x:f>IF(E73&lt;&gt;"출근",0,ROUND(MAX(0,(G73-F73)*24-H73),2))</x:f>
        <x:v>8</x:v>
      </x:c>
      <x:c r="J73" s="28" t="n">
        <x:f>IF(E73&lt;&gt;"출근",0,MAX(0,ROUND((F73-TIME(9,0,0))*1440,0)))</x:f>
        <x:v>0</x:v>
      </x:c>
      <x:c r="K73" s="21" t="n">
        <x:f>IF(E73&lt;&gt;"출근",0,MAX(0,I73-8))</x:f>
        <x:v>0</x:v>
      </x:c>
      <x:c r="L73" s="14" t="str">
        <x:f>IF(E73="연차","연차",IF(E73="결근","결근",IF(J73&gt;0,"지각","정상")))</x:f>
        <x:v>정상</x:v>
      </x:c>
      <x:c r="M73"/>
    </x:row>
    <x:row r="74">
      <x:c r="A74" s="16" t="n">
        <x:v>46338</x:v>
      </x:c>
      <x:c r="B74" t="str">
        <x:v>E005</x:v>
      </x:c>
      <x:c r="C74" t="str">
        <x:v>정현우</x:v>
      </x:c>
      <x:c r="D74" t="str">
        <x:v>생산</x:v>
      </x:c>
      <x:c r="E74" t="str">
        <x:v>출근</x:v>
      </x:c>
      <x:c r="F74" s="18" t="n">
        <x:v>0.38819444444444445</x:v>
      </x:c>
      <x:c r="G74" s="18" t="n">
        <x:v>0.75</x:v>
      </x:c>
      <x:c r="H74" s="20" t="n">
        <x:v>1</x:v>
      </x:c>
      <x:c r="I74" s="21" t="n">
        <x:f>IF(E74&lt;&gt;"출근",0,ROUND(MAX(0,(G74-F74)*24-H74),2))</x:f>
        <x:v>7.68</x:v>
      </x:c>
      <x:c r="J74" s="28" t="n">
        <x:f>IF(E74&lt;&gt;"출근",0,MAX(0,ROUND((F74-TIME(9,0,0))*1440,0)))</x:f>
        <x:v>19</x:v>
      </x:c>
      <x:c r="K74" s="21" t="n">
        <x:f>IF(E74&lt;&gt;"출근",0,MAX(0,I74-8))</x:f>
        <x:v>0</x:v>
      </x:c>
      <x:c r="L74" s="14" t="str">
        <x:f>IF(E74="연차","연차",IF(E74="결근","결근",IF(J74&gt;0,"지각","정상")))</x:f>
        <x:v>지각</x:v>
      </x:c>
      <x:c r="M74"/>
    </x:row>
    <x:row r="75">
      <x:c r="A75" s="16" t="n">
        <x:v>46338</x:v>
      </x:c>
      <x:c r="B75" t="str">
        <x:v>E006</x:v>
      </x:c>
      <x:c r="C75" t="str">
        <x:v>한유진</x:v>
      </x:c>
      <x:c r="D75" t="str">
        <x:v>영업</x:v>
      </x:c>
      <x:c r="E75" t="str">
        <x:v>출근</x:v>
      </x:c>
      <x:c r="F75" s="18" t="n">
        <x:v>0.375</x:v>
      </x:c>
      <x:c r="G75" s="18" t="n">
        <x:v>0.7708333333333334</x:v>
      </x:c>
      <x:c r="H75" s="20" t="n">
        <x:v>1</x:v>
      </x:c>
      <x:c r="I75" s="21" t="n">
        <x:f>IF(E75&lt;&gt;"출근",0,ROUND(MAX(0,(G75-F75)*24-H75),2))</x:f>
        <x:v>8.5</x:v>
      </x:c>
      <x:c r="J75" s="28" t="n">
        <x:f>IF(E75&lt;&gt;"출근",0,MAX(0,ROUND((F75-TIME(9,0,0))*1440,0)))</x:f>
        <x:v>0</x:v>
      </x:c>
      <x:c r="K75" s="21" t="n">
        <x:f>IF(E75&lt;&gt;"출근",0,MAX(0,I75-8))</x:f>
        <x:v>0.5</x:v>
      </x:c>
      <x:c r="L75" s="14" t="str">
        <x:f>IF(E75="연차","연차",IF(E75="결근","결근",IF(J75&gt;0,"지각","정상")))</x:f>
        <x:v>정상</x:v>
      </x:c>
      <x:c r="M75"/>
    </x:row>
    <x:row r="76">
      <x:c r="A76" s="16" t="n">
        <x:v>46338</x:v>
      </x:c>
      <x:c r="B76" t="str">
        <x:v>E007</x:v>
      </x:c>
      <x:c r="C76" t="str">
        <x:v>오지훈</x:v>
      </x:c>
      <x:c r="D76" t="str">
        <x:v>물류</x:v>
      </x:c>
      <x:c r="E76" t="str">
        <x:v>출근</x:v>
      </x:c>
      <x:c r="F76" s="18" t="n">
        <x:v>0.375</x:v>
      </x:c>
      <x:c r="G76" s="18" t="n">
        <x:v>0.8125</x:v>
      </x:c>
      <x:c r="H76" s="20" t="n">
        <x:v>1</x:v>
      </x:c>
      <x:c r="I76" s="21" t="n">
        <x:f>IF(E76&lt;&gt;"출근",0,ROUND(MAX(0,(G76-F76)*24-H76),2))</x:f>
        <x:v>9.5</x:v>
      </x:c>
      <x:c r="J76" s="28" t="n">
        <x:f>IF(E76&lt;&gt;"출근",0,MAX(0,ROUND((F76-TIME(9,0,0))*1440,0)))</x:f>
        <x:v>0</x:v>
      </x:c>
      <x:c r="K76" s="21" t="n">
        <x:f>IF(E76&lt;&gt;"출근",0,MAX(0,I76-8))</x:f>
        <x:v>1.5</x:v>
      </x:c>
      <x:c r="L76" s="14" t="str">
        <x:f>IF(E76="연차","연차",IF(E76="결근","결근",IF(J76&gt;0,"지각","정상")))</x:f>
        <x:v>정상</x:v>
      </x:c>
      <x:c r="M76"/>
    </x:row>
    <x:row r="77">
      <x:c r="A77" s="16" t="n">
        <x:v>46338</x:v>
      </x:c>
      <x:c r="B77" t="str">
        <x:v>E008</x:v>
      </x:c>
      <x:c r="C77" t="str">
        <x:v>강수빈</x:v>
      </x:c>
      <x:c r="D77" t="str">
        <x:v>총무</x:v>
      </x:c>
      <x:c r="E77" t="str">
        <x:v>출근</x:v>
      </x:c>
      <x:c r="F77" s="18" t="n">
        <x:v>0.38819444444444445</x:v>
      </x:c>
      <x:c r="G77" s="18" t="n">
        <x:v>0.75</x:v>
      </x:c>
      <x:c r="H77" s="20" t="n">
        <x:v>1</x:v>
      </x:c>
      <x:c r="I77" s="21" t="n">
        <x:f>IF(E77&lt;&gt;"출근",0,ROUND(MAX(0,(G77-F77)*24-H77),2))</x:f>
        <x:v>7.68</x:v>
      </x:c>
      <x:c r="J77" s="28" t="n">
        <x:f>IF(E77&lt;&gt;"출근",0,MAX(0,ROUND((F77-TIME(9,0,0))*1440,0)))</x:f>
        <x:v>19</x:v>
      </x:c>
      <x:c r="K77" s="21" t="n">
        <x:f>IF(E77&lt;&gt;"출근",0,MAX(0,I77-8))</x:f>
        <x:v>0</x:v>
      </x:c>
      <x:c r="L77" s="14" t="str">
        <x:f>IF(E77="연차","연차",IF(E77="결근","결근",IF(J77&gt;0,"지각","정상")))</x:f>
        <x:v>지각</x:v>
      </x:c>
      <x:c r="M77"/>
    </x:row>
    <x:row r="78">
      <x:c r="A78" s="16" t="n">
        <x:v>46339</x:v>
      </x:c>
      <x:c r="B78" t="str">
        <x:v>E001</x:v>
      </x:c>
      <x:c r="C78" t="str">
        <x:v>김민수</x:v>
      </x:c>
      <x:c r="D78" t="str">
        <x:v>영업</x:v>
      </x:c>
      <x:c r="E78" t="str">
        <x:v>출근</x:v>
      </x:c>
      <x:c r="F78" s="18" t="n">
        <x:v>0.375</x:v>
      </x:c>
      <x:c r="G78" s="18" t="n">
        <x:v>0.75</x:v>
      </x:c>
      <x:c r="H78" s="20" t="n">
        <x:v>1</x:v>
      </x:c>
      <x:c r="I78" s="21" t="n">
        <x:f>IF(E78&lt;&gt;"출근",0,ROUND(MAX(0,(G78-F78)*24-H78),2))</x:f>
        <x:v>8</x:v>
      </x:c>
      <x:c r="J78" s="28" t="n">
        <x:f>IF(E78&lt;&gt;"출근",0,MAX(0,ROUND((F78-TIME(9,0,0))*1440,0)))</x:f>
        <x:v>0</x:v>
      </x:c>
      <x:c r="K78" s="21" t="n">
        <x:f>IF(E78&lt;&gt;"출근",0,MAX(0,I78-8))</x:f>
        <x:v>0</x:v>
      </x:c>
      <x:c r="L78" s="14" t="str">
        <x:f>IF(E78="연차","연차",IF(E78="결근","결근",IF(J78&gt;0,"지각","정상")))</x:f>
        <x:v>정상</x:v>
      </x:c>
      <x:c r="M78"/>
    </x:row>
    <x:row r="79">
      <x:c r="A79" s="16" t="n">
        <x:v>46339</x:v>
      </x:c>
      <x:c r="B79" t="str">
        <x:v>E002</x:v>
      </x:c>
      <x:c r="C79" t="str">
        <x:v>이서연</x:v>
      </x:c>
      <x:c r="D79" t="str">
        <x:v>총무</x:v>
      </x:c>
      <x:c r="E79" t="str">
        <x:v>출근</x:v>
      </x:c>
      <x:c r="F79" s="18" t="n">
        <x:v>0.375</x:v>
      </x:c>
      <x:c r="G79" s="18" t="n">
        <x:v>0.7708333333333334</x:v>
      </x:c>
      <x:c r="H79" s="20" t="n">
        <x:v>1</x:v>
      </x:c>
      <x:c r="I79" s="21" t="n">
        <x:f>IF(E79&lt;&gt;"출근",0,ROUND(MAX(0,(G79-F79)*24-H79),2))</x:f>
        <x:v>8.5</x:v>
      </x:c>
      <x:c r="J79" s="28" t="n">
        <x:f>IF(E79&lt;&gt;"출근",0,MAX(0,ROUND((F79-TIME(9,0,0))*1440,0)))</x:f>
        <x:v>0</x:v>
      </x:c>
      <x:c r="K79" s="21" t="n">
        <x:f>IF(E79&lt;&gt;"출근",0,MAX(0,I79-8))</x:f>
        <x:v>0.5</x:v>
      </x:c>
      <x:c r="L79" s="14" t="str">
        <x:f>IF(E79="연차","연차",IF(E79="결근","결근",IF(J79&gt;0,"지각","정상")))</x:f>
        <x:v>정상</x:v>
      </x:c>
      <x:c r="M79"/>
    </x:row>
    <x:row r="80">
      <x:c r="A80" s="16" t="n">
        <x:v>46339</x:v>
      </x:c>
      <x:c r="B80" t="str">
        <x:v>E003</x:v>
      </x:c>
      <x:c r="C80" t="str">
        <x:v>박준호</x:v>
      </x:c>
      <x:c r="D80" t="str">
        <x:v>물류</x:v>
      </x:c>
      <x:c r="E80" t="str">
        <x:v>출근</x:v>
      </x:c>
      <x:c r="F80" s="18" t="n">
        <x:v>0.38333333333333336</x:v>
      </x:c>
      <x:c r="G80" s="18" t="n">
        <x:v>0.8125</x:v>
      </x:c>
      <x:c r="H80" s="20" t="n">
        <x:v>1</x:v>
      </x:c>
      <x:c r="I80" s="21" t="n">
        <x:f>IF(E80&lt;&gt;"출근",0,ROUND(MAX(0,(G80-F80)*24-H80),2))</x:f>
        <x:v>9.3</x:v>
      </x:c>
      <x:c r="J80" s="28" t="n">
        <x:f>IF(E80&lt;&gt;"출근",0,MAX(0,ROUND((F80-TIME(9,0,0))*1440,0)))</x:f>
        <x:v>12</x:v>
      </x:c>
      <x:c r="K80" s="21" t="n">
        <x:f>IF(E80&lt;&gt;"출근",0,MAX(0,I80-8))</x:f>
        <x:v>1.3000000000000007</x:v>
      </x:c>
      <x:c r="L80" s="14" t="str">
        <x:f>IF(E80="연차","연차",IF(E80="결근","결근",IF(J80&gt;0,"지각","정상")))</x:f>
        <x:v>지각</x:v>
      </x:c>
      <x:c r="M80"/>
    </x:row>
    <x:row r="81">
      <x:c r="A81" s="16" t="n">
        <x:v>46339</x:v>
      </x:c>
      <x:c r="B81" t="str">
        <x:v>E004</x:v>
      </x:c>
      <x:c r="C81" t="str">
        <x:v>최지은</x:v>
      </x:c>
      <x:c r="D81" t="str">
        <x:v>생산</x:v>
      </x:c>
      <x:c r="E81" t="str">
        <x:v>출근</x:v>
      </x:c>
      <x:c r="F81" s="18" t="n">
        <x:v>0.375</x:v>
      </x:c>
      <x:c r="G81" s="18" t="n">
        <x:v>0.75</x:v>
      </x:c>
      <x:c r="H81" s="20" t="n">
        <x:v>1</x:v>
      </x:c>
      <x:c r="I81" s="21" t="n">
        <x:f>IF(E81&lt;&gt;"출근",0,ROUND(MAX(0,(G81-F81)*24-H81),2))</x:f>
        <x:v>8</x:v>
      </x:c>
      <x:c r="J81" s="28" t="n">
        <x:f>IF(E81&lt;&gt;"출근",0,MAX(0,ROUND((F81-TIME(9,0,0))*1440,0)))</x:f>
        <x:v>0</x:v>
      </x:c>
      <x:c r="K81" s="21" t="n">
        <x:f>IF(E81&lt;&gt;"출근",0,MAX(0,I81-8))</x:f>
        <x:v>0</x:v>
      </x:c>
      <x:c r="L81" s="14" t="str">
        <x:f>IF(E81="연차","연차",IF(E81="결근","결근",IF(J81&gt;0,"지각","정상")))</x:f>
        <x:v>정상</x:v>
      </x:c>
      <x:c r="M81"/>
    </x:row>
    <x:row r="82">
      <x:c r="A82" s="16" t="n">
        <x:v>46339</x:v>
      </x:c>
      <x:c r="B82" t="str">
        <x:v>E005</x:v>
      </x:c>
      <x:c r="C82" t="str">
        <x:v>정현우</x:v>
      </x:c>
      <x:c r="D82" t="str">
        <x:v>생산</x:v>
      </x:c>
      <x:c r="E82" t="str">
        <x:v>출근</x:v>
      </x:c>
      <x:c r="F82" s="18" t="n">
        <x:v>0.375</x:v>
      </x:c>
      <x:c r="G82" s="18" t="n">
        <x:v>0.75</x:v>
      </x:c>
      <x:c r="H82" s="20" t="n">
        <x:v>1</x:v>
      </x:c>
      <x:c r="I82" s="21" t="n">
        <x:f>IF(E82&lt;&gt;"출근",0,ROUND(MAX(0,(G82-F82)*24-H82),2))</x:f>
        <x:v>8</x:v>
      </x:c>
      <x:c r="J82" s="28" t="n">
        <x:f>IF(E82&lt;&gt;"출근",0,MAX(0,ROUND((F82-TIME(9,0,0))*1440,0)))</x:f>
        <x:v>0</x:v>
      </x:c>
      <x:c r="K82" s="21" t="n">
        <x:f>IF(E82&lt;&gt;"출근",0,MAX(0,I82-8))</x:f>
        <x:v>0</x:v>
      </x:c>
      <x:c r="L82" s="14" t="str">
        <x:f>IF(E82="연차","연차",IF(E82="결근","결근",IF(J82&gt;0,"지각","정상")))</x:f>
        <x:v>정상</x:v>
      </x:c>
      <x:c r="M82"/>
    </x:row>
    <x:row r="83">
      <x:c r="A83" s="16" t="n">
        <x:v>46339</x:v>
      </x:c>
      <x:c r="B83" t="str">
        <x:v>E006</x:v>
      </x:c>
      <x:c r="C83" t="str">
        <x:v>한유진</x:v>
      </x:c>
      <x:c r="D83" t="str">
        <x:v>영업</x:v>
      </x:c>
      <x:c r="E83" t="str">
        <x:v>출근</x:v>
      </x:c>
      <x:c r="F83" s="18" t="n">
        <x:v>0.38333333333333336</x:v>
      </x:c>
      <x:c r="G83" s="18" t="n">
        <x:v>0.7916666666666666</x:v>
      </x:c>
      <x:c r="H83" s="20" t="n">
        <x:v>1</x:v>
      </x:c>
      <x:c r="I83" s="21" t="n">
        <x:f>IF(E83&lt;&gt;"출근",0,ROUND(MAX(0,(G83-F83)*24-H83),2))</x:f>
        <x:v>8.8</x:v>
      </x:c>
      <x:c r="J83" s="28" t="n">
        <x:f>IF(E83&lt;&gt;"출근",0,MAX(0,ROUND((F83-TIME(9,0,0))*1440,0)))</x:f>
        <x:v>12</x:v>
      </x:c>
      <x:c r="K83" s="21" t="n">
        <x:f>IF(E83&lt;&gt;"출근",0,MAX(0,I83-8))</x:f>
        <x:v>0.8000000000000007</x:v>
      </x:c>
      <x:c r="L83" s="14" t="str">
        <x:f>IF(E83="연차","연차",IF(E83="결근","결근",IF(J83&gt;0,"지각","정상")))</x:f>
        <x:v>지각</x:v>
      </x:c>
      <x:c r="M83"/>
    </x:row>
    <x:row r="84">
      <x:c r="A84" s="16" t="n">
        <x:v>46339</x:v>
      </x:c>
      <x:c r="B84" t="str">
        <x:v>E007</x:v>
      </x:c>
      <x:c r="C84" t="str">
        <x:v>오지훈</x:v>
      </x:c>
      <x:c r="D84" t="str">
        <x:v>물류</x:v>
      </x:c>
      <x:c r="E84" t="str">
        <x:v>연차</x:v>
      </x:c>
      <x:c r="F84" s="18"/>
      <x:c r="G84" s="18"/>
      <x:c r="H84" s="20" t="n">
        <x:v>0</x:v>
      </x:c>
      <x:c r="I84" s="21" t="n">
        <x:f>IF(E84&lt;&gt;"출근",0,ROUND(MAX(0,(G84-F84)*24-H84),2))</x:f>
        <x:v>0</x:v>
      </x:c>
      <x:c r="J84" s="28" t="n">
        <x:f>IF(E84&lt;&gt;"출근",0,MAX(0,ROUND((F84-TIME(9,0,0))*1440,0)))</x:f>
        <x:v>0</x:v>
      </x:c>
      <x:c r="K84" s="21" t="n">
        <x:f>IF(E84&lt;&gt;"출근",0,MAX(0,I84-8))</x:f>
        <x:v>0</x:v>
      </x:c>
      <x:c r="L84" s="14" t="str">
        <x:f>IF(E84="연차","연차",IF(E84="결근","결근",IF(J84&gt;0,"지각","정상")))</x:f>
        <x:v>연차</x:v>
      </x:c>
      <x:c r="M84"/>
    </x:row>
    <x:row r="85">
      <x:c r="A85" s="16" t="n">
        <x:v>46339</x:v>
      </x:c>
      <x:c r="B85" t="str">
        <x:v>E008</x:v>
      </x:c>
      <x:c r="C85" t="str">
        <x:v>강수빈</x:v>
      </x:c>
      <x:c r="D85" t="str">
        <x:v>총무</x:v>
      </x:c>
      <x:c r="E85" t="str">
        <x:v>출근</x:v>
      </x:c>
      <x:c r="F85" s="18" t="n">
        <x:v>0.375</x:v>
      </x:c>
      <x:c r="G85" s="18" t="n">
        <x:v>0.75</x:v>
      </x:c>
      <x:c r="H85" s="20" t="n">
        <x:v>1</x:v>
      </x:c>
      <x:c r="I85" s="21" t="n">
        <x:f>IF(E85&lt;&gt;"출근",0,ROUND(MAX(0,(G85-F85)*24-H85),2))</x:f>
        <x:v>8</x:v>
      </x:c>
      <x:c r="J85" s="28" t="n">
        <x:f>IF(E85&lt;&gt;"출근",0,MAX(0,ROUND((F85-TIME(9,0,0))*1440,0)))</x:f>
        <x:v>0</x:v>
      </x:c>
      <x:c r="K85" s="21" t="n">
        <x:f>IF(E85&lt;&gt;"출근",0,MAX(0,I85-8))</x:f>
        <x:v>0</x:v>
      </x:c>
      <x:c r="L85" s="14" t="str">
        <x:f>IF(E85="연차","연차",IF(E85="결근","결근",IF(J85&gt;0,"지각","정상")))</x:f>
        <x:v>정상</x:v>
      </x:c>
      <x:c r="M85"/>
    </x:row>
    <x:row r="86">
      <x:c r="A86" s="16" t="n">
        <x:v>46342</x:v>
      </x:c>
      <x:c r="B86" t="str">
        <x:v>E001</x:v>
      </x:c>
      <x:c r="C86" t="str">
        <x:v>김민수</x:v>
      </x:c>
      <x:c r="D86" t="str">
        <x:v>영업</x:v>
      </x:c>
      <x:c r="E86" t="str">
        <x:v>출근</x:v>
      </x:c>
      <x:c r="F86" s="18" t="n">
        <x:v>0.37916666666666665</x:v>
      </x:c>
      <x:c r="G86" s="18" t="n">
        <x:v>0.75</x:v>
      </x:c>
      <x:c r="H86" s="20" t="n">
        <x:v>1</x:v>
      </x:c>
      <x:c r="I86" s="21" t="n">
        <x:f>IF(E86&lt;&gt;"출근",0,ROUND(MAX(0,(G86-F86)*24-H86),2))</x:f>
        <x:v>7.9</x:v>
      </x:c>
      <x:c r="J86" s="28" t="n">
        <x:f>IF(E86&lt;&gt;"출근",0,MAX(0,ROUND((F86-TIME(9,0,0))*1440,0)))</x:f>
        <x:v>6</x:v>
      </x:c>
      <x:c r="K86" s="21" t="n">
        <x:f>IF(E86&lt;&gt;"출근",0,MAX(0,I86-8))</x:f>
        <x:v>0</x:v>
      </x:c>
      <x:c r="L86" s="14" t="str">
        <x:f>IF(E86="연차","연차",IF(E86="결근","결근",IF(J86&gt;0,"지각","정상")))</x:f>
        <x:v>지각</x:v>
      </x:c>
      <x:c r="M86"/>
    </x:row>
    <x:row r="87">
      <x:c r="A87" s="16" t="n">
        <x:v>46342</x:v>
      </x:c>
      <x:c r="B87" t="str">
        <x:v>E002</x:v>
      </x:c>
      <x:c r="C87" t="str">
        <x:v>이서연</x:v>
      </x:c>
      <x:c r="D87" t="str">
        <x:v>총무</x:v>
      </x:c>
      <x:c r="E87" t="str">
        <x:v>출근</x:v>
      </x:c>
      <x:c r="F87" s="18" t="n">
        <x:v>0.39444444444444443</x:v>
      </x:c>
      <x:c r="G87" s="18" t="n">
        <x:v>0.7916666666666666</x:v>
      </x:c>
      <x:c r="H87" s="20" t="n">
        <x:v>1</x:v>
      </x:c>
      <x:c r="I87" s="21" t="n">
        <x:f>IF(E87&lt;&gt;"출근",0,ROUND(MAX(0,(G87-F87)*24-H87),2))</x:f>
        <x:v>8.53</x:v>
      </x:c>
      <x:c r="J87" s="28" t="n">
        <x:f>IF(E87&lt;&gt;"출근",0,MAX(0,ROUND((F87-TIME(9,0,0))*1440,0)))</x:f>
        <x:v>28</x:v>
      </x:c>
      <x:c r="K87" s="21" t="n">
        <x:f>IF(E87&lt;&gt;"출근",0,MAX(0,I87-8))</x:f>
        <x:v>0.5299999999999994</x:v>
      </x:c>
      <x:c r="L87" s="14" t="str">
        <x:f>IF(E87="연차","연차",IF(E87="결근","결근",IF(J87&gt;0,"지각","정상")))</x:f>
        <x:v>지각</x:v>
      </x:c>
      <x:c r="M87"/>
    </x:row>
    <x:row r="88">
      <x:c r="A88" s="16" t="n">
        <x:v>46342</x:v>
      </x:c>
      <x:c r="B88" t="str">
        <x:v>E003</x:v>
      </x:c>
      <x:c r="C88" t="str">
        <x:v>박준호</x:v>
      </x:c>
      <x:c r="D88" t="str">
        <x:v>물류</x:v>
      </x:c>
      <x:c r="E88" t="str">
        <x:v>출근</x:v>
      </x:c>
      <x:c r="F88" s="18" t="n">
        <x:v>0.375</x:v>
      </x:c>
      <x:c r="G88" s="18" t="n">
        <x:v>0.75</x:v>
      </x:c>
      <x:c r="H88" s="20" t="n">
        <x:v>1</x:v>
      </x:c>
      <x:c r="I88" s="21" t="n">
        <x:f>IF(E88&lt;&gt;"출근",0,ROUND(MAX(0,(G88-F88)*24-H88),2))</x:f>
        <x:v>8</x:v>
      </x:c>
      <x:c r="J88" s="28" t="n">
        <x:f>IF(E88&lt;&gt;"출근",0,MAX(0,ROUND((F88-TIME(9,0,0))*1440,0)))</x:f>
        <x:v>0</x:v>
      </x:c>
      <x:c r="K88" s="21" t="n">
        <x:f>IF(E88&lt;&gt;"출근",0,MAX(0,I88-8))</x:f>
        <x:v>0</x:v>
      </x:c>
      <x:c r="L88" s="14" t="str">
        <x:f>IF(E88="연차","연차",IF(E88="결근","결근",IF(J88&gt;0,"지각","정상")))</x:f>
        <x:v>정상</x:v>
      </x:c>
      <x:c r="M88"/>
    </x:row>
    <x:row r="89">
      <x:c r="A89" s="16" t="n">
        <x:v>46342</x:v>
      </x:c>
      <x:c r="B89" t="str">
        <x:v>E004</x:v>
      </x:c>
      <x:c r="C89" t="str">
        <x:v>최지은</x:v>
      </x:c>
      <x:c r="D89" t="str">
        <x:v>생산</x:v>
      </x:c>
      <x:c r="E89" t="str">
        <x:v>출근</x:v>
      </x:c>
      <x:c r="F89" s="18" t="n">
        <x:v>0.37916666666666665</x:v>
      </x:c>
      <x:c r="G89" s="18" t="n">
        <x:v>0.75</x:v>
      </x:c>
      <x:c r="H89" s="20" t="n">
        <x:v>1</x:v>
      </x:c>
      <x:c r="I89" s="21" t="n">
        <x:f>IF(E89&lt;&gt;"출근",0,ROUND(MAX(0,(G89-F89)*24-H89),2))</x:f>
        <x:v>7.9</x:v>
      </x:c>
      <x:c r="J89" s="28" t="n">
        <x:f>IF(E89&lt;&gt;"출근",0,MAX(0,ROUND((F89-TIME(9,0,0))*1440,0)))</x:f>
        <x:v>6</x:v>
      </x:c>
      <x:c r="K89" s="21" t="n">
        <x:f>IF(E89&lt;&gt;"출근",0,MAX(0,I89-8))</x:f>
        <x:v>0</x:v>
      </x:c>
      <x:c r="L89" s="14" t="str">
        <x:f>IF(E89="연차","연차",IF(E89="결근","결근",IF(J89&gt;0,"지각","정상")))</x:f>
        <x:v>지각</x:v>
      </x:c>
      <x:c r="M89"/>
    </x:row>
    <x:row r="90">
      <x:c r="A90" s="16" t="n">
        <x:v>46342</x:v>
      </x:c>
      <x:c r="B90" t="str">
        <x:v>E005</x:v>
      </x:c>
      <x:c r="C90" t="str">
        <x:v>정현우</x:v>
      </x:c>
      <x:c r="D90" t="str">
        <x:v>생산</x:v>
      </x:c>
      <x:c r="E90" t="str">
        <x:v>출근</x:v>
      </x:c>
      <x:c r="F90" s="18" t="n">
        <x:v>0.39444444444444443</x:v>
      </x:c>
      <x:c r="G90" s="18" t="n">
        <x:v>0.7708333333333334</x:v>
      </x:c>
      <x:c r="H90" s="20" t="n">
        <x:v>1</x:v>
      </x:c>
      <x:c r="I90" s="21" t="n">
        <x:f>IF(E90&lt;&gt;"출근",0,ROUND(MAX(0,(G90-F90)*24-H90),2))</x:f>
        <x:v>8.03</x:v>
      </x:c>
      <x:c r="J90" s="28" t="n">
        <x:f>IF(E90&lt;&gt;"출근",0,MAX(0,ROUND((F90-TIME(9,0,0))*1440,0)))</x:f>
        <x:v>28</x:v>
      </x:c>
      <x:c r="K90" s="21" t="n">
        <x:f>IF(E90&lt;&gt;"출근",0,MAX(0,I90-8))</x:f>
        <x:v>0.02999999999999936</x:v>
      </x:c>
      <x:c r="L90" s="14" t="str">
        <x:f>IF(E90="연차","연차",IF(E90="결근","결근",IF(J90&gt;0,"지각","정상")))</x:f>
        <x:v>지각</x:v>
      </x:c>
      <x:c r="M90"/>
    </x:row>
    <x:row r="91">
      <x:c r="A91" s="16" t="n">
        <x:v>46342</x:v>
      </x:c>
      <x:c r="B91" t="str">
        <x:v>E006</x:v>
      </x:c>
      <x:c r="C91" t="str">
        <x:v>한유진</x:v>
      </x:c>
      <x:c r="D91" t="str">
        <x:v>영업</x:v>
      </x:c>
      <x:c r="E91" t="str">
        <x:v>출근</x:v>
      </x:c>
      <x:c r="F91" s="18" t="n">
        <x:v>0.375</x:v>
      </x:c>
      <x:c r="G91" s="18" t="n">
        <x:v>0.8125</x:v>
      </x:c>
      <x:c r="H91" s="20" t="n">
        <x:v>1</x:v>
      </x:c>
      <x:c r="I91" s="21" t="n">
        <x:f>IF(E91&lt;&gt;"출근",0,ROUND(MAX(0,(G91-F91)*24-H91),2))</x:f>
        <x:v>9.5</x:v>
      </x:c>
      <x:c r="J91" s="28" t="n">
        <x:f>IF(E91&lt;&gt;"출근",0,MAX(0,ROUND((F91-TIME(9,0,0))*1440,0)))</x:f>
        <x:v>0</x:v>
      </x:c>
      <x:c r="K91" s="21" t="n">
        <x:f>IF(E91&lt;&gt;"출근",0,MAX(0,I91-8))</x:f>
        <x:v>1.5</x:v>
      </x:c>
      <x:c r="L91" s="14" t="str">
        <x:f>IF(E91="연차","연차",IF(E91="결근","결근",IF(J91&gt;0,"지각","정상")))</x:f>
        <x:v>정상</x:v>
      </x:c>
      <x:c r="M91"/>
    </x:row>
    <x:row r="92">
      <x:c r="A92" s="16" t="n">
        <x:v>46342</x:v>
      </x:c>
      <x:c r="B92" t="str">
        <x:v>E007</x:v>
      </x:c>
      <x:c r="C92" t="str">
        <x:v>오지훈</x:v>
      </x:c>
      <x:c r="D92" t="str">
        <x:v>물류</x:v>
      </x:c>
      <x:c r="E92" t="str">
        <x:v>출근</x:v>
      </x:c>
      <x:c r="F92" s="18" t="n">
        <x:v>0.37916666666666665</x:v>
      </x:c>
      <x:c r="G92" s="18" t="n">
        <x:v>0.75</x:v>
      </x:c>
      <x:c r="H92" s="20" t="n">
        <x:v>1</x:v>
      </x:c>
      <x:c r="I92" s="21" t="n">
        <x:f>IF(E92&lt;&gt;"출근",0,ROUND(MAX(0,(G92-F92)*24-H92),2))</x:f>
        <x:v>7.9</x:v>
      </x:c>
      <x:c r="J92" s="28" t="n">
        <x:f>IF(E92&lt;&gt;"출근",0,MAX(0,ROUND((F92-TIME(9,0,0))*1440,0)))</x:f>
        <x:v>6</x:v>
      </x:c>
      <x:c r="K92" s="21" t="n">
        <x:f>IF(E92&lt;&gt;"출근",0,MAX(0,I92-8))</x:f>
        <x:v>0</x:v>
      </x:c>
      <x:c r="L92" s="14" t="str">
        <x:f>IF(E92="연차","연차",IF(E92="결근","결근",IF(J92&gt;0,"지각","정상")))</x:f>
        <x:v>지각</x:v>
      </x:c>
      <x:c r="M92"/>
    </x:row>
    <x:row r="93">
      <x:c r="A93" s="16" t="n">
        <x:v>46342</x:v>
      </x:c>
      <x:c r="B93" t="str">
        <x:v>E008</x:v>
      </x:c>
      <x:c r="C93" t="str">
        <x:v>강수빈</x:v>
      </x:c>
      <x:c r="D93" t="str">
        <x:v>총무</x:v>
      </x:c>
      <x:c r="E93" t="str">
        <x:v>출근</x:v>
      </x:c>
      <x:c r="F93" s="18" t="n">
        <x:v>0.39444444444444443</x:v>
      </x:c>
      <x:c r="G93" s="18" t="n">
        <x:v>0.75</x:v>
      </x:c>
      <x:c r="H93" s="20" t="n">
        <x:v>1</x:v>
      </x:c>
      <x:c r="I93" s="21" t="n">
        <x:f>IF(E93&lt;&gt;"출근",0,ROUND(MAX(0,(G93-F93)*24-H93),2))</x:f>
        <x:v>7.53</x:v>
      </x:c>
      <x:c r="J93" s="28" t="n">
        <x:f>IF(E93&lt;&gt;"출근",0,MAX(0,ROUND((F93-TIME(9,0,0))*1440,0)))</x:f>
        <x:v>28</x:v>
      </x:c>
      <x:c r="K93" s="21" t="n">
        <x:f>IF(E93&lt;&gt;"출근",0,MAX(0,I93-8))</x:f>
        <x:v>0</x:v>
      </x:c>
      <x:c r="L93" s="14" t="str">
        <x:f>IF(E93="연차","연차",IF(E93="결근","결근",IF(J93&gt;0,"지각","정상")))</x:f>
        <x:v>지각</x:v>
      </x:c>
      <x:c r="M93"/>
    </x:row>
    <x:row r="94">
      <x:c r="A94" s="16" t="n">
        <x:v>46343</x:v>
      </x:c>
      <x:c r="B94" t="str">
        <x:v>E001</x:v>
      </x:c>
      <x:c r="C94" t="str">
        <x:v>김민수</x:v>
      </x:c>
      <x:c r="D94" t="str">
        <x:v>영업</x:v>
      </x:c>
      <x:c r="E94" t="str">
        <x:v>출근</x:v>
      </x:c>
      <x:c r="F94" s="18" t="n">
        <x:v>0.375</x:v>
      </x:c>
      <x:c r="G94" s="18" t="n">
        <x:v>0.7708333333333334</x:v>
      </x:c>
      <x:c r="H94" s="20" t="n">
        <x:v>1</x:v>
      </x:c>
      <x:c r="I94" s="21" t="n">
        <x:f>IF(E94&lt;&gt;"출근",0,ROUND(MAX(0,(G94-F94)*24-H94),2))</x:f>
        <x:v>8.5</x:v>
      </x:c>
      <x:c r="J94" s="28" t="n">
        <x:f>IF(E94&lt;&gt;"출근",0,MAX(0,ROUND((F94-TIME(9,0,0))*1440,0)))</x:f>
        <x:v>0</x:v>
      </x:c>
      <x:c r="K94" s="21" t="n">
        <x:f>IF(E94&lt;&gt;"출근",0,MAX(0,I94-8))</x:f>
        <x:v>0.5</x:v>
      </x:c>
      <x:c r="L94" s="14" t="str">
        <x:f>IF(E94="연차","연차",IF(E94="결근","결근",IF(J94&gt;0,"지각","정상")))</x:f>
        <x:v>정상</x:v>
      </x:c>
      <x:c r="M94"/>
    </x:row>
    <x:row r="95">
      <x:c r="A95" s="16" t="n">
        <x:v>46343</x:v>
      </x:c>
      <x:c r="B95" t="str">
        <x:v>E002</x:v>
      </x:c>
      <x:c r="C95" t="str">
        <x:v>이서연</x:v>
      </x:c>
      <x:c r="D95" t="str">
        <x:v>총무</x:v>
      </x:c>
      <x:c r="E95" t="str">
        <x:v>출근</x:v>
      </x:c>
      <x:c r="F95" s="18" t="n">
        <x:v>0.375</x:v>
      </x:c>
      <x:c r="G95" s="18" t="n">
        <x:v>0.8125</x:v>
      </x:c>
      <x:c r="H95" s="20" t="n">
        <x:v>1</x:v>
      </x:c>
      <x:c r="I95" s="21" t="n">
        <x:f>IF(E95&lt;&gt;"출근",0,ROUND(MAX(0,(G95-F95)*24-H95),2))</x:f>
        <x:v>9.5</x:v>
      </x:c>
      <x:c r="J95" s="28" t="n">
        <x:f>IF(E95&lt;&gt;"출근",0,MAX(0,ROUND((F95-TIME(9,0,0))*1440,0)))</x:f>
        <x:v>0</x:v>
      </x:c>
      <x:c r="K95" s="21" t="n">
        <x:f>IF(E95&lt;&gt;"출근",0,MAX(0,I95-8))</x:f>
        <x:v>1.5</x:v>
      </x:c>
      <x:c r="L95" s="14" t="str">
        <x:f>IF(E95="연차","연차",IF(E95="결근","결근",IF(J95&gt;0,"지각","정상")))</x:f>
        <x:v>정상</x:v>
      </x:c>
      <x:c r="M95"/>
    </x:row>
    <x:row r="96">
      <x:c r="A96" s="16" t="n">
        <x:v>46343</x:v>
      </x:c>
      <x:c r="B96" t="str">
        <x:v>E003</x:v>
      </x:c>
      <x:c r="C96" t="str">
        <x:v>박준호</x:v>
      </x:c>
      <x:c r="D96" t="str">
        <x:v>물류</x:v>
      </x:c>
      <x:c r="E96" t="str">
        <x:v>출근</x:v>
      </x:c>
      <x:c r="F96" s="18" t="n">
        <x:v>0.38819444444444445</x:v>
      </x:c>
      <x:c r="G96" s="18" t="n">
        <x:v>0.75</x:v>
      </x:c>
      <x:c r="H96" s="20" t="n">
        <x:v>1</x:v>
      </x:c>
      <x:c r="I96" s="21" t="n">
        <x:f>IF(E96&lt;&gt;"출근",0,ROUND(MAX(0,(G96-F96)*24-H96),2))</x:f>
        <x:v>7.68</x:v>
      </x:c>
      <x:c r="J96" s="28" t="n">
        <x:f>IF(E96&lt;&gt;"출근",0,MAX(0,ROUND((F96-TIME(9,0,0))*1440,0)))</x:f>
        <x:v>19</x:v>
      </x:c>
      <x:c r="K96" s="21" t="n">
        <x:f>IF(E96&lt;&gt;"출근",0,MAX(0,I96-8))</x:f>
        <x:v>0</x:v>
      </x:c>
      <x:c r="L96" s="14" t="str">
        <x:f>IF(E96="연차","연차",IF(E96="결근","결근",IF(J96&gt;0,"지각","정상")))</x:f>
        <x:v>지각</x:v>
      </x:c>
      <x:c r="M96"/>
    </x:row>
    <x:row r="97">
      <x:c r="A97" s="16" t="n">
        <x:v>46343</x:v>
      </x:c>
      <x:c r="B97" t="str">
        <x:v>E004</x:v>
      </x:c>
      <x:c r="C97" t="str">
        <x:v>최지은</x:v>
      </x:c>
      <x:c r="D97" t="str">
        <x:v>생산</x:v>
      </x:c>
      <x:c r="E97" t="str">
        <x:v>출근</x:v>
      </x:c>
      <x:c r="F97" s="18" t="n">
        <x:v>0.375</x:v>
      </x:c>
      <x:c r="G97" s="18" t="n">
        <x:v>0.75</x:v>
      </x:c>
      <x:c r="H97" s="20" t="n">
        <x:v>1</x:v>
      </x:c>
      <x:c r="I97" s="21" t="n">
        <x:f>IF(E97&lt;&gt;"출근",0,ROUND(MAX(0,(G97-F97)*24-H97),2))</x:f>
        <x:v>8</x:v>
      </x:c>
      <x:c r="J97" s="28" t="n">
        <x:f>IF(E97&lt;&gt;"출근",0,MAX(0,ROUND((F97-TIME(9,0,0))*1440,0)))</x:f>
        <x:v>0</x:v>
      </x:c>
      <x:c r="K97" s="21" t="n">
        <x:f>IF(E97&lt;&gt;"출근",0,MAX(0,I97-8))</x:f>
        <x:v>0</x:v>
      </x:c>
      <x:c r="L97" s="14" t="str">
        <x:f>IF(E97="연차","연차",IF(E97="결근","결근",IF(J97&gt;0,"지각","정상")))</x:f>
        <x:v>정상</x:v>
      </x:c>
      <x:c r="M97"/>
    </x:row>
    <x:row r="98">
      <x:c r="A98" s="16" t="n">
        <x:v>46343</x:v>
      </x:c>
      <x:c r="B98" t="str">
        <x:v>E005</x:v>
      </x:c>
      <x:c r="C98" t="str">
        <x:v>정현우</x:v>
      </x:c>
      <x:c r="D98" t="str">
        <x:v>생산</x:v>
      </x:c>
      <x:c r="E98" t="str">
        <x:v>출근</x:v>
      </x:c>
      <x:c r="F98" s="18" t="n">
        <x:v>0.375</x:v>
      </x:c>
      <x:c r="G98" s="18" t="n">
        <x:v>0.7916666666666666</x:v>
      </x:c>
      <x:c r="H98" s="20" t="n">
        <x:v>1</x:v>
      </x:c>
      <x:c r="I98" s="21" t="n">
        <x:f>IF(E98&lt;&gt;"출근",0,ROUND(MAX(0,(G98-F98)*24-H98),2))</x:f>
        <x:v>9</x:v>
      </x:c>
      <x:c r="J98" s="28" t="n">
        <x:f>IF(E98&lt;&gt;"출근",0,MAX(0,ROUND((F98-TIME(9,0,0))*1440,0)))</x:f>
        <x:v>0</x:v>
      </x:c>
      <x:c r="K98" s="21" t="n">
        <x:f>IF(E98&lt;&gt;"출근",0,MAX(0,I98-8))</x:f>
        <x:v>1</x:v>
      </x:c>
      <x:c r="L98" s="14" t="str">
        <x:f>IF(E98="연차","연차",IF(E98="결근","결근",IF(J98&gt;0,"지각","정상")))</x:f>
        <x:v>정상</x:v>
      </x:c>
      <x:c r="M98"/>
    </x:row>
    <x:row r="99">
      <x:c r="A99" s="16" t="n">
        <x:v>46343</x:v>
      </x:c>
      <x:c r="B99" t="str">
        <x:v>E006</x:v>
      </x:c>
      <x:c r="C99" t="str">
        <x:v>한유진</x:v>
      </x:c>
      <x:c r="D99" t="str">
        <x:v>영업</x:v>
      </x:c>
      <x:c r="E99" t="str">
        <x:v>출근</x:v>
      </x:c>
      <x:c r="F99" s="18" t="n">
        <x:v>0.38819444444444445</x:v>
      </x:c>
      <x:c r="G99" s="18" t="n">
        <x:v>0.75</x:v>
      </x:c>
      <x:c r="H99" s="20" t="n">
        <x:v>1</x:v>
      </x:c>
      <x:c r="I99" s="21" t="n">
        <x:f>IF(E99&lt;&gt;"출근",0,ROUND(MAX(0,(G99-F99)*24-H99),2))</x:f>
        <x:v>7.68</x:v>
      </x:c>
      <x:c r="J99" s="28" t="n">
        <x:f>IF(E99&lt;&gt;"출근",0,MAX(0,ROUND((F99-TIME(9,0,0))*1440,0)))</x:f>
        <x:v>19</x:v>
      </x:c>
      <x:c r="K99" s="21" t="n">
        <x:f>IF(E99&lt;&gt;"출근",0,MAX(0,I99-8))</x:f>
        <x:v>0</x:v>
      </x:c>
      <x:c r="L99" s="14" t="str">
        <x:f>IF(E99="연차","연차",IF(E99="결근","결근",IF(J99&gt;0,"지각","정상")))</x:f>
        <x:v>지각</x:v>
      </x:c>
      <x:c r="M99"/>
    </x:row>
    <x:row r="100">
      <x:c r="A100" s="16" t="n">
        <x:v>46343</x:v>
      </x:c>
      <x:c r="B100" t="str">
        <x:v>E007</x:v>
      </x:c>
      <x:c r="C100" t="str">
        <x:v>오지훈</x:v>
      </x:c>
      <x:c r="D100" t="str">
        <x:v>물류</x:v>
      </x:c>
      <x:c r="E100" t="str">
        <x:v>출근</x:v>
      </x:c>
      <x:c r="F100" s="18" t="n">
        <x:v>0.375</x:v>
      </x:c>
      <x:c r="G100" s="18" t="n">
        <x:v>0.75</x:v>
      </x:c>
      <x:c r="H100" s="20" t="n">
        <x:v>1</x:v>
      </x:c>
      <x:c r="I100" s="21" t="n">
        <x:f>IF(E100&lt;&gt;"출근",0,ROUND(MAX(0,(G100-F100)*24-H100),2))</x:f>
        <x:v>8</x:v>
      </x:c>
      <x:c r="J100" s="28" t="n">
        <x:f>IF(E100&lt;&gt;"출근",0,MAX(0,ROUND((F100-TIME(9,0,0))*1440,0)))</x:f>
        <x:v>0</x:v>
      </x:c>
      <x:c r="K100" s="21" t="n">
        <x:f>IF(E100&lt;&gt;"출근",0,MAX(0,I100-8))</x:f>
        <x:v>0</x:v>
      </x:c>
      <x:c r="L100" s="14" t="str">
        <x:f>IF(E100="연차","연차",IF(E100="결근","결근",IF(J100&gt;0,"지각","정상")))</x:f>
        <x:v>정상</x:v>
      </x:c>
      <x:c r="M100"/>
    </x:row>
    <x:row r="101">
      <x:c r="A101" s="16" t="n">
        <x:v>46343</x:v>
      </x:c>
      <x:c r="B101" t="str">
        <x:v>E008</x:v>
      </x:c>
      <x:c r="C101" t="str">
        <x:v>강수빈</x:v>
      </x:c>
      <x:c r="D101" t="str">
        <x:v>총무</x:v>
      </x:c>
      <x:c r="E101" t="str">
        <x:v>출근</x:v>
      </x:c>
      <x:c r="F101" s="18" t="n">
        <x:v>0.375</x:v>
      </x:c>
      <x:c r="G101" s="18" t="n">
        <x:v>0.7708333333333334</x:v>
      </x:c>
      <x:c r="H101" s="20" t="n">
        <x:v>1</x:v>
      </x:c>
      <x:c r="I101" s="21" t="n">
        <x:f>IF(E101&lt;&gt;"출근",0,ROUND(MAX(0,(G101-F101)*24-H101),2))</x:f>
        <x:v>8.5</x:v>
      </x:c>
      <x:c r="J101" s="28" t="n">
        <x:f>IF(E101&lt;&gt;"출근",0,MAX(0,ROUND((F101-TIME(9,0,0))*1440,0)))</x:f>
        <x:v>0</x:v>
      </x:c>
      <x:c r="K101" s="21" t="n">
        <x:f>IF(E101&lt;&gt;"출근",0,MAX(0,I101-8))</x:f>
        <x:v>0.5</x:v>
      </x:c>
      <x:c r="L101" s="14" t="str">
        <x:f>IF(E101="연차","연차",IF(E101="결근","결근",IF(J101&gt;0,"지각","정상")))</x:f>
        <x:v>정상</x:v>
      </x:c>
      <x:c r="M101"/>
    </x:row>
    <x:row r="102">
      <x:c r="A102" s="16" t="n">
        <x:v>46344</x:v>
      </x:c>
      <x:c r="B102" t="str">
        <x:v>E001</x:v>
      </x:c>
      <x:c r="C102" t="str">
        <x:v>김민수</x:v>
      </x:c>
      <x:c r="D102" t="str">
        <x:v>영업</x:v>
      </x:c>
      <x:c r="E102" t="str">
        <x:v>출근</x:v>
      </x:c>
      <x:c r="F102" s="18" t="n">
        <x:v>0.38333333333333336</x:v>
      </x:c>
      <x:c r="G102" s="18" t="n">
        <x:v>0.7916666666666666</x:v>
      </x:c>
      <x:c r="H102" s="20" t="n">
        <x:v>1</x:v>
      </x:c>
      <x:c r="I102" s="21" t="n">
        <x:f>IF(E102&lt;&gt;"출근",0,ROUND(MAX(0,(G102-F102)*24-H102),2))</x:f>
        <x:v>8.8</x:v>
      </x:c>
      <x:c r="J102" s="28" t="n">
        <x:f>IF(E102&lt;&gt;"출근",0,MAX(0,ROUND((F102-TIME(9,0,0))*1440,0)))</x:f>
        <x:v>12</x:v>
      </x:c>
      <x:c r="K102" s="21" t="n">
        <x:f>IF(E102&lt;&gt;"출근",0,MAX(0,I102-8))</x:f>
        <x:v>0.8000000000000007</x:v>
      </x:c>
      <x:c r="L102" s="14" t="str">
        <x:f>IF(E102="연차","연차",IF(E102="결근","결근",IF(J102&gt;0,"지각","정상")))</x:f>
        <x:v>지각</x:v>
      </x:c>
      <x:c r="M102"/>
    </x:row>
    <x:row r="103">
      <x:c r="A103" s="16" t="n">
        <x:v>46344</x:v>
      </x:c>
      <x:c r="B103" t="str">
        <x:v>E002</x:v>
      </x:c>
      <x:c r="C103" t="str">
        <x:v>이서연</x:v>
      </x:c>
      <x:c r="D103" t="str">
        <x:v>총무</x:v>
      </x:c>
      <x:c r="E103" t="str">
        <x:v>출근</x:v>
      </x:c>
      <x:c r="F103" s="18" t="n">
        <x:v>0.375</x:v>
      </x:c>
      <x:c r="G103" s="18" t="n">
        <x:v>0.75</x:v>
      </x:c>
      <x:c r="H103" s="20" t="n">
        <x:v>1</x:v>
      </x:c>
      <x:c r="I103" s="21" t="n">
        <x:f>IF(E103&lt;&gt;"출근",0,ROUND(MAX(0,(G103-F103)*24-H103),2))</x:f>
        <x:v>8</x:v>
      </x:c>
      <x:c r="J103" s="28" t="n">
        <x:f>IF(E103&lt;&gt;"출근",0,MAX(0,ROUND((F103-TIME(9,0,0))*1440,0)))</x:f>
        <x:v>0</x:v>
      </x:c>
      <x:c r="K103" s="21" t="n">
        <x:f>IF(E103&lt;&gt;"출근",0,MAX(0,I103-8))</x:f>
        <x:v>0</x:v>
      </x:c>
      <x:c r="L103" s="14" t="str">
        <x:f>IF(E103="연차","연차",IF(E103="결근","결근",IF(J103&gt;0,"지각","정상")))</x:f>
        <x:v>정상</x:v>
      </x:c>
      <x:c r="M103"/>
    </x:row>
    <x:row r="104">
      <x:c r="A104" s="16" t="n">
        <x:v>46344</x:v>
      </x:c>
      <x:c r="B104" t="str">
        <x:v>E003</x:v>
      </x:c>
      <x:c r="C104" t="str">
        <x:v>박준호</x:v>
      </x:c>
      <x:c r="D104" t="str">
        <x:v>물류</x:v>
      </x:c>
      <x:c r="E104" t="str">
        <x:v>출근</x:v>
      </x:c>
      <x:c r="F104" s="18" t="n">
        <x:v>0.375</x:v>
      </x:c>
      <x:c r="G104" s="18" t="n">
        <x:v>0.75</x:v>
      </x:c>
      <x:c r="H104" s="20" t="n">
        <x:v>1</x:v>
      </x:c>
      <x:c r="I104" s="21" t="n">
        <x:f>IF(E104&lt;&gt;"출근",0,ROUND(MAX(0,(G104-F104)*24-H104),2))</x:f>
        <x:v>8</x:v>
      </x:c>
      <x:c r="J104" s="28" t="n">
        <x:f>IF(E104&lt;&gt;"출근",0,MAX(0,ROUND((F104-TIME(9,0,0))*1440,0)))</x:f>
        <x:v>0</x:v>
      </x:c>
      <x:c r="K104" s="21" t="n">
        <x:f>IF(E104&lt;&gt;"출근",0,MAX(0,I104-8))</x:f>
        <x:v>0</x:v>
      </x:c>
      <x:c r="L104" s="14" t="str">
        <x:f>IF(E104="연차","연차",IF(E104="결근","결근",IF(J104&gt;0,"지각","정상")))</x:f>
        <x:v>정상</x:v>
      </x:c>
      <x:c r="M104"/>
    </x:row>
    <x:row r="105">
      <x:c r="A105" s="16" t="n">
        <x:v>46344</x:v>
      </x:c>
      <x:c r="B105" t="str">
        <x:v>E004</x:v>
      </x:c>
      <x:c r="C105" t="str">
        <x:v>최지은</x:v>
      </x:c>
      <x:c r="D105" t="str">
        <x:v>생산</x:v>
      </x:c>
      <x:c r="E105" t="str">
        <x:v>출근</x:v>
      </x:c>
      <x:c r="F105" s="18" t="n">
        <x:v>0.38333333333333336</x:v>
      </x:c>
      <x:c r="G105" s="18" t="n">
        <x:v>0.7708333333333334</x:v>
      </x:c>
      <x:c r="H105" s="20" t="n">
        <x:v>1</x:v>
      </x:c>
      <x:c r="I105" s="21" t="n">
        <x:f>IF(E105&lt;&gt;"출근",0,ROUND(MAX(0,(G105-F105)*24-H105),2))</x:f>
        <x:v>8.3</x:v>
      </x:c>
      <x:c r="J105" s="28" t="n">
        <x:f>IF(E105&lt;&gt;"출근",0,MAX(0,ROUND((F105-TIME(9,0,0))*1440,0)))</x:f>
        <x:v>12</x:v>
      </x:c>
      <x:c r="K105" s="21" t="n">
        <x:f>IF(E105&lt;&gt;"출근",0,MAX(0,I105-8))</x:f>
        <x:v>0.3000000000000007</x:v>
      </x:c>
      <x:c r="L105" s="14" t="str">
        <x:f>IF(E105="연차","연차",IF(E105="결근","결근",IF(J105&gt;0,"지각","정상")))</x:f>
        <x:v>지각</x:v>
      </x:c>
      <x:c r="M105"/>
    </x:row>
    <x:row r="106">
      <x:c r="A106" s="16" t="n">
        <x:v>46344</x:v>
      </x:c>
      <x:c r="B106" t="str">
        <x:v>E005</x:v>
      </x:c>
      <x:c r="C106" t="str">
        <x:v>정현우</x:v>
      </x:c>
      <x:c r="D106" t="str">
        <x:v>생산</x:v>
      </x:c>
      <x:c r="E106" t="str">
        <x:v>출근</x:v>
      </x:c>
      <x:c r="F106" s="18" t="n">
        <x:v>0.375</x:v>
      </x:c>
      <x:c r="G106" s="18" t="n">
        <x:v>0.8125</x:v>
      </x:c>
      <x:c r="H106" s="20" t="n">
        <x:v>1</x:v>
      </x:c>
      <x:c r="I106" s="21" t="n">
        <x:f>IF(E106&lt;&gt;"출근",0,ROUND(MAX(0,(G106-F106)*24-H106),2))</x:f>
        <x:v>9.5</x:v>
      </x:c>
      <x:c r="J106" s="28" t="n">
        <x:f>IF(E106&lt;&gt;"출근",0,MAX(0,ROUND((F106-TIME(9,0,0))*1440,0)))</x:f>
        <x:v>0</x:v>
      </x:c>
      <x:c r="K106" s="21" t="n">
        <x:f>IF(E106&lt;&gt;"출근",0,MAX(0,I106-8))</x:f>
        <x:v>1.5</x:v>
      </x:c>
      <x:c r="L106" s="14" t="str">
        <x:f>IF(E106="연차","연차",IF(E106="결근","결근",IF(J106&gt;0,"지각","정상")))</x:f>
        <x:v>정상</x:v>
      </x:c>
      <x:c r="M106"/>
    </x:row>
    <x:row r="107">
      <x:c r="A107" s="16" t="n">
        <x:v>46344</x:v>
      </x:c>
      <x:c r="B107" t="str">
        <x:v>E006</x:v>
      </x:c>
      <x:c r="C107" t="str">
        <x:v>한유진</x:v>
      </x:c>
      <x:c r="D107" t="str">
        <x:v>영업</x:v>
      </x:c>
      <x:c r="E107" t="str">
        <x:v>출근</x:v>
      </x:c>
      <x:c r="F107" s="18" t="n">
        <x:v>0.375</x:v>
      </x:c>
      <x:c r="G107" s="18" t="n">
        <x:v>0.75</x:v>
      </x:c>
      <x:c r="H107" s="20" t="n">
        <x:v>1</x:v>
      </x:c>
      <x:c r="I107" s="21" t="n">
        <x:f>IF(E107&lt;&gt;"출근",0,ROUND(MAX(0,(G107-F107)*24-H107),2))</x:f>
        <x:v>8</x:v>
      </x:c>
      <x:c r="J107" s="28" t="n">
        <x:f>IF(E107&lt;&gt;"출근",0,MAX(0,ROUND((F107-TIME(9,0,0))*1440,0)))</x:f>
        <x:v>0</x:v>
      </x:c>
      <x:c r="K107" s="21" t="n">
        <x:f>IF(E107&lt;&gt;"출근",0,MAX(0,I107-8))</x:f>
        <x:v>0</x:v>
      </x:c>
      <x:c r="L107" s="14" t="str">
        <x:f>IF(E107="연차","연차",IF(E107="결근","결근",IF(J107&gt;0,"지각","정상")))</x:f>
        <x:v>정상</x:v>
      </x:c>
      <x:c r="M107"/>
    </x:row>
    <x:row r="108">
      <x:c r="A108" s="16" t="n">
        <x:v>46344</x:v>
      </x:c>
      <x:c r="B108" t="str">
        <x:v>E007</x:v>
      </x:c>
      <x:c r="C108" t="str">
        <x:v>오지훈</x:v>
      </x:c>
      <x:c r="D108" t="str">
        <x:v>물류</x:v>
      </x:c>
      <x:c r="E108" t="str">
        <x:v>출근</x:v>
      </x:c>
      <x:c r="F108" s="18" t="n">
        <x:v>0.38333333333333336</x:v>
      </x:c>
      <x:c r="G108" s="18" t="n">
        <x:v>0.75</x:v>
      </x:c>
      <x:c r="H108" s="20" t="n">
        <x:v>1</x:v>
      </x:c>
      <x:c r="I108" s="21" t="n">
        <x:f>IF(E108&lt;&gt;"출근",0,ROUND(MAX(0,(G108-F108)*24-H108),2))</x:f>
        <x:v>7.8</x:v>
      </x:c>
      <x:c r="J108" s="28" t="n">
        <x:f>IF(E108&lt;&gt;"출근",0,MAX(0,ROUND((F108-TIME(9,0,0))*1440,0)))</x:f>
        <x:v>12</x:v>
      </x:c>
      <x:c r="K108" s="21" t="n">
        <x:f>IF(E108&lt;&gt;"출근",0,MAX(0,I108-8))</x:f>
        <x:v>0</x:v>
      </x:c>
      <x:c r="L108" s="14" t="str">
        <x:f>IF(E108="연차","연차",IF(E108="결근","결근",IF(J108&gt;0,"지각","정상")))</x:f>
        <x:v>지각</x:v>
      </x:c>
      <x:c r="M108"/>
    </x:row>
    <x:row r="109">
      <x:c r="A109" s="16" t="n">
        <x:v>46344</x:v>
      </x:c>
      <x:c r="B109" t="str">
        <x:v>E008</x:v>
      </x:c>
      <x:c r="C109" t="str">
        <x:v>강수빈</x:v>
      </x:c>
      <x:c r="D109" t="str">
        <x:v>총무</x:v>
      </x:c>
      <x:c r="E109" t="str">
        <x:v>출근</x:v>
      </x:c>
      <x:c r="F109" s="18" t="n">
        <x:v>0.375</x:v>
      </x:c>
      <x:c r="G109" s="18" t="n">
        <x:v>0.7916666666666666</x:v>
      </x:c>
      <x:c r="H109" s="20" t="n">
        <x:v>1</x:v>
      </x:c>
      <x:c r="I109" s="21" t="n">
        <x:f>IF(E109&lt;&gt;"출근",0,ROUND(MAX(0,(G109-F109)*24-H109),2))</x:f>
        <x:v>9</x:v>
      </x:c>
      <x:c r="J109" s="28" t="n">
        <x:f>IF(E109&lt;&gt;"출근",0,MAX(0,ROUND((F109-TIME(9,0,0))*1440,0)))</x:f>
        <x:v>0</x:v>
      </x:c>
      <x:c r="K109" s="21" t="n">
        <x:f>IF(E109&lt;&gt;"출근",0,MAX(0,I109-8))</x:f>
        <x:v>1</x:v>
      </x:c>
      <x:c r="L109" s="14" t="str">
        <x:f>IF(E109="연차","연차",IF(E109="결근","결근",IF(J109&gt;0,"지각","정상")))</x:f>
        <x:v>정상</x:v>
      </x:c>
      <x:c r="M109"/>
    </x:row>
    <x:row r="110">
      <x:c r="A110" s="16" t="n">
        <x:v>46345</x:v>
      </x:c>
      <x:c r="B110" t="str">
        <x:v>E001</x:v>
      </x:c>
      <x:c r="C110" t="str">
        <x:v>김민수</x:v>
      </x:c>
      <x:c r="D110" t="str">
        <x:v>영업</x:v>
      </x:c>
      <x:c r="E110" t="str">
        <x:v>출근</x:v>
      </x:c>
      <x:c r="F110" s="18" t="n">
        <x:v>0.375</x:v>
      </x:c>
      <x:c r="G110" s="18" t="n">
        <x:v>0.8125</x:v>
      </x:c>
      <x:c r="H110" s="20" t="n">
        <x:v>1</x:v>
      </x:c>
      <x:c r="I110" s="21" t="n">
        <x:f>IF(E110&lt;&gt;"출근",0,ROUND(MAX(0,(G110-F110)*24-H110),2))</x:f>
        <x:v>9.5</x:v>
      </x:c>
      <x:c r="J110" s="28" t="n">
        <x:f>IF(E110&lt;&gt;"출근",0,MAX(0,ROUND((F110-TIME(9,0,0))*1440,0)))</x:f>
        <x:v>0</x:v>
      </x:c>
      <x:c r="K110" s="21" t="n">
        <x:f>IF(E110&lt;&gt;"출근",0,MAX(0,I110-8))</x:f>
        <x:v>1.5</x:v>
      </x:c>
      <x:c r="L110" s="14" t="str">
        <x:f>IF(E110="연차","연차",IF(E110="결근","결근",IF(J110&gt;0,"지각","정상")))</x:f>
        <x:v>정상</x:v>
      </x:c>
      <x:c r="M110"/>
    </x:row>
    <x:row r="111">
      <x:c r="A111" s="16" t="n">
        <x:v>46345</x:v>
      </x:c>
      <x:c r="B111" t="str">
        <x:v>E002</x:v>
      </x:c>
      <x:c r="C111" t="str">
        <x:v>이서연</x:v>
      </x:c>
      <x:c r="D111" t="str">
        <x:v>총무</x:v>
      </x:c>
      <x:c r="E111" t="str">
        <x:v>출근</x:v>
      </x:c>
      <x:c r="F111" s="18" t="n">
        <x:v>0.37916666666666665</x:v>
      </x:c>
      <x:c r="G111" s="18" t="n">
        <x:v>0.75</x:v>
      </x:c>
      <x:c r="H111" s="20" t="n">
        <x:v>1</x:v>
      </x:c>
      <x:c r="I111" s="21" t="n">
        <x:f>IF(E111&lt;&gt;"출근",0,ROUND(MAX(0,(G111-F111)*24-H111),2))</x:f>
        <x:v>7.9</x:v>
      </x:c>
      <x:c r="J111" s="28" t="n">
        <x:f>IF(E111&lt;&gt;"출근",0,MAX(0,ROUND((F111-TIME(9,0,0))*1440,0)))</x:f>
        <x:v>6</x:v>
      </x:c>
      <x:c r="K111" s="21" t="n">
        <x:f>IF(E111&lt;&gt;"출근",0,MAX(0,I111-8))</x:f>
        <x:v>0</x:v>
      </x:c>
      <x:c r="L111" s="14" t="str">
        <x:f>IF(E111="연차","연차",IF(E111="결근","결근",IF(J111&gt;0,"지각","정상")))</x:f>
        <x:v>지각</x:v>
      </x:c>
      <x:c r="M111"/>
    </x:row>
    <x:row r="112">
      <x:c r="A112" s="16" t="n">
        <x:v>46345</x:v>
      </x:c>
      <x:c r="B112" t="str">
        <x:v>E003</x:v>
      </x:c>
      <x:c r="C112" t="str">
        <x:v>박준호</x:v>
      </x:c>
      <x:c r="D112" t="str">
        <x:v>물류</x:v>
      </x:c>
      <x:c r="E112" t="str">
        <x:v>출근</x:v>
      </x:c>
      <x:c r="F112" s="18" t="n">
        <x:v>0.39444444444444443</x:v>
      </x:c>
      <x:c r="G112" s="18" t="n">
        <x:v>0.75</x:v>
      </x:c>
      <x:c r="H112" s="20" t="n">
        <x:v>1</x:v>
      </x:c>
      <x:c r="I112" s="21" t="n">
        <x:f>IF(E112&lt;&gt;"출근",0,ROUND(MAX(0,(G112-F112)*24-H112),2))</x:f>
        <x:v>7.53</x:v>
      </x:c>
      <x:c r="J112" s="28" t="n">
        <x:f>IF(E112&lt;&gt;"출근",0,MAX(0,ROUND((F112-TIME(9,0,0))*1440,0)))</x:f>
        <x:v>28</x:v>
      </x:c>
      <x:c r="K112" s="21" t="n">
        <x:f>IF(E112&lt;&gt;"출근",0,MAX(0,I112-8))</x:f>
        <x:v>0</x:v>
      </x:c>
      <x:c r="L112" s="14" t="str">
        <x:f>IF(E112="연차","연차",IF(E112="결근","결근",IF(J112&gt;0,"지각","정상")))</x:f>
        <x:v>지각</x:v>
      </x:c>
      <x:c r="M112"/>
    </x:row>
    <x:row r="113">
      <x:c r="A113" s="16" t="n">
        <x:v>46345</x:v>
      </x:c>
      <x:c r="B113" t="str">
        <x:v>E004</x:v>
      </x:c>
      <x:c r="C113" t="str">
        <x:v>최지은</x:v>
      </x:c>
      <x:c r="D113" t="str">
        <x:v>생산</x:v>
      </x:c>
      <x:c r="E113" t="str">
        <x:v>출근</x:v>
      </x:c>
      <x:c r="F113" s="18" t="n">
        <x:v>0.375</x:v>
      </x:c>
      <x:c r="G113" s="18" t="n">
        <x:v>0.7916666666666666</x:v>
      </x:c>
      <x:c r="H113" s="20" t="n">
        <x:v>1</x:v>
      </x:c>
      <x:c r="I113" s="21" t="n">
        <x:f>IF(E113&lt;&gt;"출근",0,ROUND(MAX(0,(G113-F113)*24-H113),2))</x:f>
        <x:v>9</x:v>
      </x:c>
      <x:c r="J113" s="28" t="n">
        <x:f>IF(E113&lt;&gt;"출근",0,MAX(0,ROUND((F113-TIME(9,0,0))*1440,0)))</x:f>
        <x:v>0</x:v>
      </x:c>
      <x:c r="K113" s="21" t="n">
        <x:f>IF(E113&lt;&gt;"출근",0,MAX(0,I113-8))</x:f>
        <x:v>1</x:v>
      </x:c>
      <x:c r="L113" s="14" t="str">
        <x:f>IF(E113="연차","연차",IF(E113="결근","결근",IF(J113&gt;0,"지각","정상")))</x:f>
        <x:v>정상</x:v>
      </x:c>
      <x:c r="M113"/>
    </x:row>
    <x:row r="114">
      <x:c r="A114" s="16" t="n">
        <x:v>46345</x:v>
      </x:c>
      <x:c r="B114" t="str">
        <x:v>E005</x:v>
      </x:c>
      <x:c r="C114" t="str">
        <x:v>정현우</x:v>
      </x:c>
      <x:c r="D114" t="str">
        <x:v>생산</x:v>
      </x:c>
      <x:c r="E114" t="str">
        <x:v>출근</x:v>
      </x:c>
      <x:c r="F114" s="18" t="n">
        <x:v>0.37916666666666665</x:v>
      </x:c>
      <x:c r="G114" s="18" t="n">
        <x:v>0.75</x:v>
      </x:c>
      <x:c r="H114" s="20" t="n">
        <x:v>1</x:v>
      </x:c>
      <x:c r="I114" s="21" t="n">
        <x:f>IF(E114&lt;&gt;"출근",0,ROUND(MAX(0,(G114-F114)*24-H114),2))</x:f>
        <x:v>7.9</x:v>
      </x:c>
      <x:c r="J114" s="28" t="n">
        <x:f>IF(E114&lt;&gt;"출근",0,MAX(0,ROUND((F114-TIME(9,0,0))*1440,0)))</x:f>
        <x:v>6</x:v>
      </x:c>
      <x:c r="K114" s="21" t="n">
        <x:f>IF(E114&lt;&gt;"출근",0,MAX(0,I114-8))</x:f>
        <x:v>0</x:v>
      </x:c>
      <x:c r="L114" s="14" t="str">
        <x:f>IF(E114="연차","연차",IF(E114="결근","결근",IF(J114&gt;0,"지각","정상")))</x:f>
        <x:v>지각</x:v>
      </x:c>
      <x:c r="M114"/>
    </x:row>
    <x:row r="115">
      <x:c r="A115" s="16" t="n">
        <x:v>46345</x:v>
      </x:c>
      <x:c r="B115" t="str">
        <x:v>E006</x:v>
      </x:c>
      <x:c r="C115" t="str">
        <x:v>한유진</x:v>
      </x:c>
      <x:c r="D115" t="str">
        <x:v>영업</x:v>
      </x:c>
      <x:c r="E115" t="str">
        <x:v>출근</x:v>
      </x:c>
      <x:c r="F115" s="18" t="n">
        <x:v>0.39444444444444443</x:v>
      </x:c>
      <x:c r="G115" s="18" t="n">
        <x:v>0.75</x:v>
      </x:c>
      <x:c r="H115" s="20" t="n">
        <x:v>1</x:v>
      </x:c>
      <x:c r="I115" s="21" t="n">
        <x:f>IF(E115&lt;&gt;"출근",0,ROUND(MAX(0,(G115-F115)*24-H115),2))</x:f>
        <x:v>7.53</x:v>
      </x:c>
      <x:c r="J115" s="28" t="n">
        <x:f>IF(E115&lt;&gt;"출근",0,MAX(0,ROUND((F115-TIME(9,0,0))*1440,0)))</x:f>
        <x:v>28</x:v>
      </x:c>
      <x:c r="K115" s="21" t="n">
        <x:f>IF(E115&lt;&gt;"출근",0,MAX(0,I115-8))</x:f>
        <x:v>0</x:v>
      </x:c>
      <x:c r="L115" s="14" t="str">
        <x:f>IF(E115="연차","연차",IF(E115="결근","결근",IF(J115&gt;0,"지각","정상")))</x:f>
        <x:v>지각</x:v>
      </x:c>
      <x:c r="M115"/>
    </x:row>
    <x:row r="116">
      <x:c r="A116" s="16" t="n">
        <x:v>46345</x:v>
      </x:c>
      <x:c r="B116" t="str">
        <x:v>E007</x:v>
      </x:c>
      <x:c r="C116" t="str">
        <x:v>오지훈</x:v>
      </x:c>
      <x:c r="D116" t="str">
        <x:v>물류</x:v>
      </x:c>
      <x:c r="E116" t="str">
        <x:v>출근</x:v>
      </x:c>
      <x:c r="F116" s="18" t="n">
        <x:v>0.375</x:v>
      </x:c>
      <x:c r="G116" s="18" t="n">
        <x:v>0.7708333333333334</x:v>
      </x:c>
      <x:c r="H116" s="20" t="n">
        <x:v>1</x:v>
      </x:c>
      <x:c r="I116" s="21" t="n">
        <x:f>IF(E116&lt;&gt;"출근",0,ROUND(MAX(0,(G116-F116)*24-H116),2))</x:f>
        <x:v>8.5</x:v>
      </x:c>
      <x:c r="J116" s="28" t="n">
        <x:f>IF(E116&lt;&gt;"출근",0,MAX(0,ROUND((F116-TIME(9,0,0))*1440,0)))</x:f>
        <x:v>0</x:v>
      </x:c>
      <x:c r="K116" s="21" t="n">
        <x:f>IF(E116&lt;&gt;"출근",0,MAX(0,I116-8))</x:f>
        <x:v>0.5</x:v>
      </x:c>
      <x:c r="L116" s="14" t="str">
        <x:f>IF(E116="연차","연차",IF(E116="결근","결근",IF(J116&gt;0,"지각","정상")))</x:f>
        <x:v>정상</x:v>
      </x:c>
      <x:c r="M116"/>
    </x:row>
    <x:row r="117">
      <x:c r="A117" s="16" t="n">
        <x:v>46345</x:v>
      </x:c>
      <x:c r="B117" t="str">
        <x:v>E008</x:v>
      </x:c>
      <x:c r="C117" t="str">
        <x:v>강수빈</x:v>
      </x:c>
      <x:c r="D117" t="str">
        <x:v>총무</x:v>
      </x:c>
      <x:c r="E117" t="str">
        <x:v>출근</x:v>
      </x:c>
      <x:c r="F117" s="18" t="n">
        <x:v>0.37916666666666665</x:v>
      </x:c>
      <x:c r="G117" s="18" t="n">
        <x:v>0.8125</x:v>
      </x:c>
      <x:c r="H117" s="20" t="n">
        <x:v>1</x:v>
      </x:c>
      <x:c r="I117" s="21" t="n">
        <x:f>IF(E117&lt;&gt;"출근",0,ROUND(MAX(0,(G117-F117)*24-H117),2))</x:f>
        <x:v>9.4</x:v>
      </x:c>
      <x:c r="J117" s="28" t="n">
        <x:f>IF(E117&lt;&gt;"출근",0,MAX(0,ROUND((F117-TIME(9,0,0))*1440,0)))</x:f>
        <x:v>6</x:v>
      </x:c>
      <x:c r="K117" s="21" t="n">
        <x:f>IF(E117&lt;&gt;"출근",0,MAX(0,I117-8))</x:f>
        <x:v>1.4000000000000004</x:v>
      </x:c>
      <x:c r="L117" s="14" t="str">
        <x:f>IF(E117="연차","연차",IF(E117="결근","결근",IF(J117&gt;0,"지각","정상")))</x:f>
        <x:v>지각</x:v>
      </x:c>
      <x:c r="M117"/>
    </x:row>
    <x:row r="118">
      <x:c r="A118" s="16" t="n">
        <x:v>46346</x:v>
      </x:c>
      <x:c r="B118" t="str">
        <x:v>E001</x:v>
      </x:c>
      <x:c r="C118" t="str">
        <x:v>김민수</x:v>
      </x:c>
      <x:c r="D118" t="str">
        <x:v>영업</x:v>
      </x:c>
      <x:c r="E118" t="str">
        <x:v>출근</x:v>
      </x:c>
      <x:c r="F118" s="18" t="n">
        <x:v>0.38819444444444445</x:v>
      </x:c>
      <x:c r="G118" s="18" t="n">
        <x:v>0.75</x:v>
      </x:c>
      <x:c r="H118" s="20" t="n">
        <x:v>1</x:v>
      </x:c>
      <x:c r="I118" s="21" t="n">
        <x:f>IF(E118&lt;&gt;"출근",0,ROUND(MAX(0,(G118-F118)*24-H118),2))</x:f>
        <x:v>7.68</x:v>
      </x:c>
      <x:c r="J118" s="28" t="n">
        <x:f>IF(E118&lt;&gt;"출근",0,MAX(0,ROUND((F118-TIME(9,0,0))*1440,0)))</x:f>
        <x:v>19</x:v>
      </x:c>
      <x:c r="K118" s="21" t="n">
        <x:f>IF(E118&lt;&gt;"출근",0,MAX(0,I118-8))</x:f>
        <x:v>0</x:v>
      </x:c>
      <x:c r="L118" s="14" t="str">
        <x:f>IF(E118="연차","연차",IF(E118="결근","결근",IF(J118&gt;0,"지각","정상")))</x:f>
        <x:v>지각</x:v>
      </x:c>
      <x:c r="M118"/>
    </x:row>
    <x:row r="119">
      <x:c r="A119" s="16" t="n">
        <x:v>46346</x:v>
      </x:c>
      <x:c r="B119" t="str">
        <x:v>E002</x:v>
      </x:c>
      <x:c r="C119" t="str">
        <x:v>이서연</x:v>
      </x:c>
      <x:c r="D119" t="str">
        <x:v>총무</x:v>
      </x:c>
      <x:c r="E119" t="str">
        <x:v>출근</x:v>
      </x:c>
      <x:c r="F119" s="18" t="n">
        <x:v>0.375</x:v>
      </x:c>
      <x:c r="G119" s="18" t="n">
        <x:v>0.75</x:v>
      </x:c>
      <x:c r="H119" s="20" t="n">
        <x:v>1</x:v>
      </x:c>
      <x:c r="I119" s="21" t="n">
        <x:f>IF(E119&lt;&gt;"출근",0,ROUND(MAX(0,(G119-F119)*24-H119),2))</x:f>
        <x:v>8</x:v>
      </x:c>
      <x:c r="J119" s="28" t="n">
        <x:f>IF(E119&lt;&gt;"출근",0,MAX(0,ROUND((F119-TIME(9,0,0))*1440,0)))</x:f>
        <x:v>0</x:v>
      </x:c>
      <x:c r="K119" s="21" t="n">
        <x:f>IF(E119&lt;&gt;"출근",0,MAX(0,I119-8))</x:f>
        <x:v>0</x:v>
      </x:c>
      <x:c r="L119" s="14" t="str">
        <x:f>IF(E119="연차","연차",IF(E119="결근","결근",IF(J119&gt;0,"지각","정상")))</x:f>
        <x:v>정상</x:v>
      </x:c>
      <x:c r="M119"/>
    </x:row>
    <x:row r="120">
      <x:c r="A120" s="16" t="n">
        <x:v>46346</x:v>
      </x:c>
      <x:c r="B120" t="str">
        <x:v>E003</x:v>
      </x:c>
      <x:c r="C120" t="str">
        <x:v>박준호</x:v>
      </x:c>
      <x:c r="D120" t="str">
        <x:v>물류</x:v>
      </x:c>
      <x:c r="E120" t="str">
        <x:v>출근</x:v>
      </x:c>
      <x:c r="F120" s="18" t="n">
        <x:v>0.375</x:v>
      </x:c>
      <x:c r="G120" s="18" t="n">
        <x:v>0.7708333333333334</x:v>
      </x:c>
      <x:c r="H120" s="20" t="n">
        <x:v>1</x:v>
      </x:c>
      <x:c r="I120" s="21" t="n">
        <x:f>IF(E120&lt;&gt;"출근",0,ROUND(MAX(0,(G120-F120)*24-H120),2))</x:f>
        <x:v>8.5</x:v>
      </x:c>
      <x:c r="J120" s="28" t="n">
        <x:f>IF(E120&lt;&gt;"출근",0,MAX(0,ROUND((F120-TIME(9,0,0))*1440,0)))</x:f>
        <x:v>0</x:v>
      </x:c>
      <x:c r="K120" s="21" t="n">
        <x:f>IF(E120&lt;&gt;"출근",0,MAX(0,I120-8))</x:f>
        <x:v>0.5</x:v>
      </x:c>
      <x:c r="L120" s="14" t="str">
        <x:f>IF(E120="연차","연차",IF(E120="결근","결근",IF(J120&gt;0,"지각","정상")))</x:f>
        <x:v>정상</x:v>
      </x:c>
      <x:c r="M120"/>
    </x:row>
    <x:row r="121">
      <x:c r="A121" s="16" t="n">
        <x:v>46346</x:v>
      </x:c>
      <x:c r="B121" t="str">
        <x:v>E004</x:v>
      </x:c>
      <x:c r="C121" t="str">
        <x:v>최지은</x:v>
      </x:c>
      <x:c r="D121" t="str">
        <x:v>생산</x:v>
      </x:c>
      <x:c r="E121" t="str">
        <x:v>출근</x:v>
      </x:c>
      <x:c r="F121" s="18" t="n">
        <x:v>0.38819444444444445</x:v>
      </x:c>
      <x:c r="G121" s="18" t="n">
        <x:v>0.8125</x:v>
      </x:c>
      <x:c r="H121" s="20" t="n">
        <x:v>1</x:v>
      </x:c>
      <x:c r="I121" s="21" t="n">
        <x:f>IF(E121&lt;&gt;"출근",0,ROUND(MAX(0,(G121-F121)*24-H121),2))</x:f>
        <x:v>9.18</x:v>
      </x:c>
      <x:c r="J121" s="28" t="n">
        <x:f>IF(E121&lt;&gt;"출근",0,MAX(0,ROUND((F121-TIME(9,0,0))*1440,0)))</x:f>
        <x:v>19</x:v>
      </x:c>
      <x:c r="K121" s="21" t="n">
        <x:f>IF(E121&lt;&gt;"출근",0,MAX(0,I121-8))</x:f>
        <x:v>1.1799999999999997</x:v>
      </x:c>
      <x:c r="L121" s="14" t="str">
        <x:f>IF(E121="연차","연차",IF(E121="결근","결근",IF(J121&gt;0,"지각","정상")))</x:f>
        <x:v>지각</x:v>
      </x:c>
      <x:c r="M121"/>
    </x:row>
    <x:row r="122">
      <x:c r="A122" s="16" t="n">
        <x:v>46346</x:v>
      </x:c>
      <x:c r="B122" t="str">
        <x:v>E005</x:v>
      </x:c>
      <x:c r="C122" t="str">
        <x:v>정현우</x:v>
      </x:c>
      <x:c r="D122" t="str">
        <x:v>생산</x:v>
      </x:c>
      <x:c r="E122" t="str">
        <x:v>출근</x:v>
      </x:c>
      <x:c r="F122" s="18" t="n">
        <x:v>0.375</x:v>
      </x:c>
      <x:c r="G122" s="18" t="n">
        <x:v>0.75</x:v>
      </x:c>
      <x:c r="H122" s="20" t="n">
        <x:v>1</x:v>
      </x:c>
      <x:c r="I122" s="21" t="n">
        <x:f>IF(E122&lt;&gt;"출근",0,ROUND(MAX(0,(G122-F122)*24-H122),2))</x:f>
        <x:v>8</x:v>
      </x:c>
      <x:c r="J122" s="28" t="n">
        <x:f>IF(E122&lt;&gt;"출근",0,MAX(0,ROUND((F122-TIME(9,0,0))*1440,0)))</x:f>
        <x:v>0</x:v>
      </x:c>
      <x:c r="K122" s="21" t="n">
        <x:f>IF(E122&lt;&gt;"출근",0,MAX(0,I122-8))</x:f>
        <x:v>0</x:v>
      </x:c>
      <x:c r="L122" s="14" t="str">
        <x:f>IF(E122="연차","연차",IF(E122="결근","결근",IF(J122&gt;0,"지각","정상")))</x:f>
        <x:v>정상</x:v>
      </x:c>
      <x:c r="M122"/>
    </x:row>
    <x:row r="123">
      <x:c r="A123" s="16" t="n">
        <x:v>46346</x:v>
      </x:c>
      <x:c r="B123" t="str">
        <x:v>E006</x:v>
      </x:c>
      <x:c r="C123" t="str">
        <x:v>한유진</x:v>
      </x:c>
      <x:c r="D123" t="str">
        <x:v>영업</x:v>
      </x:c>
      <x:c r="E123" t="str">
        <x:v>출근</x:v>
      </x:c>
      <x:c r="F123" s="18" t="n">
        <x:v>0.375</x:v>
      </x:c>
      <x:c r="G123" s="18" t="n">
        <x:v>0.75</x:v>
      </x:c>
      <x:c r="H123" s="20" t="n">
        <x:v>1</x:v>
      </x:c>
      <x:c r="I123" s="21" t="n">
        <x:f>IF(E123&lt;&gt;"출근",0,ROUND(MAX(0,(G123-F123)*24-H123),2))</x:f>
        <x:v>8</x:v>
      </x:c>
      <x:c r="J123" s="28" t="n">
        <x:f>IF(E123&lt;&gt;"출근",0,MAX(0,ROUND((F123-TIME(9,0,0))*1440,0)))</x:f>
        <x:v>0</x:v>
      </x:c>
      <x:c r="K123" s="21" t="n">
        <x:f>IF(E123&lt;&gt;"출근",0,MAX(0,I123-8))</x:f>
        <x:v>0</x:v>
      </x:c>
      <x:c r="L123" s="14" t="str">
        <x:f>IF(E123="연차","연차",IF(E123="결근","결근",IF(J123&gt;0,"지각","정상")))</x:f>
        <x:v>정상</x:v>
      </x:c>
      <x:c r="M123"/>
    </x:row>
    <x:row r="124">
      <x:c r="A124" s="16" t="n">
        <x:v>46346</x:v>
      </x:c>
      <x:c r="B124" t="str">
        <x:v>E007</x:v>
      </x:c>
      <x:c r="C124" t="str">
        <x:v>오지훈</x:v>
      </x:c>
      <x:c r="D124" t="str">
        <x:v>물류</x:v>
      </x:c>
      <x:c r="E124" t="str">
        <x:v>출근</x:v>
      </x:c>
      <x:c r="F124" s="18" t="n">
        <x:v>0.38819444444444445</x:v>
      </x:c>
      <x:c r="G124" s="18" t="n">
        <x:v>0.7916666666666666</x:v>
      </x:c>
      <x:c r="H124" s="20" t="n">
        <x:v>1</x:v>
      </x:c>
      <x:c r="I124" s="21" t="n">
        <x:f>IF(E124&lt;&gt;"출근",0,ROUND(MAX(0,(G124-F124)*24-H124),2))</x:f>
        <x:v>8.68</x:v>
      </x:c>
      <x:c r="J124" s="28" t="n">
        <x:f>IF(E124&lt;&gt;"출근",0,MAX(0,ROUND((F124-TIME(9,0,0))*1440,0)))</x:f>
        <x:v>19</x:v>
      </x:c>
      <x:c r="K124" s="21" t="n">
        <x:f>IF(E124&lt;&gt;"출근",0,MAX(0,I124-8))</x:f>
        <x:v>0.6799999999999997</x:v>
      </x:c>
      <x:c r="L124" s="14" t="str">
        <x:f>IF(E124="연차","연차",IF(E124="결근","결근",IF(J124&gt;0,"지각","정상")))</x:f>
        <x:v>지각</x:v>
      </x:c>
      <x:c r="M124"/>
    </x:row>
    <x:row r="125">
      <x:c r="A125" s="16" t="n">
        <x:v>46346</x:v>
      </x:c>
      <x:c r="B125" t="str">
        <x:v>E008</x:v>
      </x:c>
      <x:c r="C125" t="str">
        <x:v>강수빈</x:v>
      </x:c>
      <x:c r="D125" t="str">
        <x:v>총무</x:v>
      </x:c>
      <x:c r="E125" t="str">
        <x:v>출근</x:v>
      </x:c>
      <x:c r="F125" s="18" t="n">
        <x:v>0.375</x:v>
      </x:c>
      <x:c r="G125" s="18" t="n">
        <x:v>0.75</x:v>
      </x:c>
      <x:c r="H125" s="20" t="n">
        <x:v>1</x:v>
      </x:c>
      <x:c r="I125" s="21" t="n">
        <x:f>IF(E125&lt;&gt;"출근",0,ROUND(MAX(0,(G125-F125)*24-H125),2))</x:f>
        <x:v>8</x:v>
      </x:c>
      <x:c r="J125" s="28" t="n">
        <x:f>IF(E125&lt;&gt;"출근",0,MAX(0,ROUND((F125-TIME(9,0,0))*1440,0)))</x:f>
        <x:v>0</x:v>
      </x:c>
      <x:c r="K125" s="21" t="n">
        <x:f>IF(E125&lt;&gt;"출근",0,MAX(0,I125-8))</x:f>
        <x:v>0</x:v>
      </x:c>
      <x:c r="L125" s="14" t="str">
        <x:f>IF(E125="연차","연차",IF(E125="결근","결근",IF(J125&gt;0,"지각","정상")))</x:f>
        <x:v>정상</x:v>
      </x:c>
      <x:c r="M125"/>
    </x:row>
    <x:row r="126">
      <x:c r="A126" s="16" t="n">
        <x:v>46349</x:v>
      </x:c>
      <x:c r="B126" t="str">
        <x:v>E001</x:v>
      </x:c>
      <x:c r="C126" t="str">
        <x:v>김민수</x:v>
      </x:c>
      <x:c r="D126" t="str">
        <x:v>영업</x:v>
      </x:c>
      <x:c r="E126" t="str">
        <x:v>출근</x:v>
      </x:c>
      <x:c r="F126" s="18" t="n">
        <x:v>0.375</x:v>
      </x:c>
      <x:c r="G126" s="18" t="n">
        <x:v>0.75</x:v>
      </x:c>
      <x:c r="H126" s="20" t="n">
        <x:v>1</x:v>
      </x:c>
      <x:c r="I126" s="21" t="n">
        <x:f>IF(E126&lt;&gt;"출근",0,ROUND(MAX(0,(G126-F126)*24-H126),2))</x:f>
        <x:v>8</x:v>
      </x:c>
      <x:c r="J126" s="28" t="n">
        <x:f>IF(E126&lt;&gt;"출근",0,MAX(0,ROUND((F126-TIME(9,0,0))*1440,0)))</x:f>
        <x:v>0</x:v>
      </x:c>
      <x:c r="K126" s="21" t="n">
        <x:f>IF(E126&lt;&gt;"출근",0,MAX(0,I126-8))</x:f>
        <x:v>0</x:v>
      </x:c>
      <x:c r="L126" s="14" t="str">
        <x:f>IF(E126="연차","연차",IF(E126="결근","결근",IF(J126&gt;0,"지각","정상")))</x:f>
        <x:v>정상</x:v>
      </x:c>
      <x:c r="M126"/>
    </x:row>
    <x:row r="127">
      <x:c r="A127" s="16" t="n">
        <x:v>46349</x:v>
      </x:c>
      <x:c r="B127" t="str">
        <x:v>E002</x:v>
      </x:c>
      <x:c r="C127" t="str">
        <x:v>이서연</x:v>
      </x:c>
      <x:c r="D127" t="str">
        <x:v>총무</x:v>
      </x:c>
      <x:c r="E127" t="str">
        <x:v>출근</x:v>
      </x:c>
      <x:c r="F127" s="18" t="n">
        <x:v>0.38333333333333336</x:v>
      </x:c>
      <x:c r="G127" s="18" t="n">
        <x:v>0.75</x:v>
      </x:c>
      <x:c r="H127" s="20" t="n">
        <x:v>1</x:v>
      </x:c>
      <x:c r="I127" s="21" t="n">
        <x:f>IF(E127&lt;&gt;"출근",0,ROUND(MAX(0,(G127-F127)*24-H127),2))</x:f>
        <x:v>7.8</x:v>
      </x:c>
      <x:c r="J127" s="28" t="n">
        <x:f>IF(E127&lt;&gt;"출근",0,MAX(0,ROUND((F127-TIME(9,0,0))*1440,0)))</x:f>
        <x:v>12</x:v>
      </x:c>
      <x:c r="K127" s="21" t="n">
        <x:f>IF(E127&lt;&gt;"출근",0,MAX(0,I127-8))</x:f>
        <x:v>0</x:v>
      </x:c>
      <x:c r="L127" s="14" t="str">
        <x:f>IF(E127="연차","연차",IF(E127="결근","결근",IF(J127&gt;0,"지각","정상")))</x:f>
        <x:v>지각</x:v>
      </x:c>
      <x:c r="M127"/>
    </x:row>
    <x:row r="128">
      <x:c r="A128" s="16" t="n">
        <x:v>46349</x:v>
      </x:c>
      <x:c r="B128" t="str">
        <x:v>E003</x:v>
      </x:c>
      <x:c r="C128" t="str">
        <x:v>박준호</x:v>
      </x:c>
      <x:c r="D128" t="str">
        <x:v>물류</x:v>
      </x:c>
      <x:c r="E128" t="str">
        <x:v>출근</x:v>
      </x:c>
      <x:c r="F128" s="18" t="n">
        <x:v>0.375</x:v>
      </x:c>
      <x:c r="G128" s="18" t="n">
        <x:v>0.7916666666666666</x:v>
      </x:c>
      <x:c r="H128" s="20" t="n">
        <x:v>1</x:v>
      </x:c>
      <x:c r="I128" s="21" t="n">
        <x:f>IF(E128&lt;&gt;"출근",0,ROUND(MAX(0,(G128-F128)*24-H128),2))</x:f>
        <x:v>9</x:v>
      </x:c>
      <x:c r="J128" s="28" t="n">
        <x:f>IF(E128&lt;&gt;"출근",0,MAX(0,ROUND((F128-TIME(9,0,0))*1440,0)))</x:f>
        <x:v>0</x:v>
      </x:c>
      <x:c r="K128" s="21" t="n">
        <x:f>IF(E128&lt;&gt;"출근",0,MAX(0,I128-8))</x:f>
        <x:v>1</x:v>
      </x:c>
      <x:c r="L128" s="14" t="str">
        <x:f>IF(E128="연차","연차",IF(E128="결근","결근",IF(J128&gt;0,"지각","정상")))</x:f>
        <x:v>정상</x:v>
      </x:c>
      <x:c r="M128"/>
    </x:row>
    <x:row r="129">
      <x:c r="A129" s="16" t="n">
        <x:v>46349</x:v>
      </x:c>
      <x:c r="B129" t="str">
        <x:v>E004</x:v>
      </x:c>
      <x:c r="C129" t="str">
        <x:v>최지은</x:v>
      </x:c>
      <x:c r="D129" t="str">
        <x:v>생산</x:v>
      </x:c>
      <x:c r="E129" t="str">
        <x:v>출근</x:v>
      </x:c>
      <x:c r="F129" s="18" t="n">
        <x:v>0.375</x:v>
      </x:c>
      <x:c r="G129" s="18" t="n">
        <x:v>0.75</x:v>
      </x:c>
      <x:c r="H129" s="20" t="n">
        <x:v>1</x:v>
      </x:c>
      <x:c r="I129" s="21" t="n">
        <x:f>IF(E129&lt;&gt;"출근",0,ROUND(MAX(0,(G129-F129)*24-H129),2))</x:f>
        <x:v>8</x:v>
      </x:c>
      <x:c r="J129" s="28" t="n">
        <x:f>IF(E129&lt;&gt;"출근",0,MAX(0,ROUND((F129-TIME(9,0,0))*1440,0)))</x:f>
        <x:v>0</x:v>
      </x:c>
      <x:c r="K129" s="21" t="n">
        <x:f>IF(E129&lt;&gt;"출근",0,MAX(0,I129-8))</x:f>
        <x:v>0</x:v>
      </x:c>
      <x:c r="L129" s="14" t="str">
        <x:f>IF(E129="연차","연차",IF(E129="결근","결근",IF(J129&gt;0,"지각","정상")))</x:f>
        <x:v>정상</x:v>
      </x:c>
      <x:c r="M129"/>
    </x:row>
    <x:row r="130">
      <x:c r="A130" s="16" t="n">
        <x:v>46349</x:v>
      </x:c>
      <x:c r="B130" t="str">
        <x:v>E005</x:v>
      </x:c>
      <x:c r="C130" t="str">
        <x:v>정현우</x:v>
      </x:c>
      <x:c r="D130" t="str">
        <x:v>생산</x:v>
      </x:c>
      <x:c r="E130" t="str">
        <x:v>출근</x:v>
      </x:c>
      <x:c r="F130" s="18" t="n">
        <x:v>0.38333333333333336</x:v>
      </x:c>
      <x:c r="G130" s="18" t="n">
        <x:v>0.75</x:v>
      </x:c>
      <x:c r="H130" s="20" t="n">
        <x:v>1</x:v>
      </x:c>
      <x:c r="I130" s="21" t="n">
        <x:f>IF(E130&lt;&gt;"출근",0,ROUND(MAX(0,(G130-F130)*24-H130),2))</x:f>
        <x:v>7.8</x:v>
      </x:c>
      <x:c r="J130" s="28" t="n">
        <x:f>IF(E130&lt;&gt;"출근",0,MAX(0,ROUND((F130-TIME(9,0,0))*1440,0)))</x:f>
        <x:v>12</x:v>
      </x:c>
      <x:c r="K130" s="21" t="n">
        <x:f>IF(E130&lt;&gt;"출근",0,MAX(0,I130-8))</x:f>
        <x:v>0</x:v>
      </x:c>
      <x:c r="L130" s="14" t="str">
        <x:f>IF(E130="연차","연차",IF(E130="결근","결근",IF(J130&gt;0,"지각","정상")))</x:f>
        <x:v>지각</x:v>
      </x:c>
      <x:c r="M130"/>
    </x:row>
    <x:row r="131">
      <x:c r="A131" s="16" t="n">
        <x:v>46349</x:v>
      </x:c>
      <x:c r="B131" t="str">
        <x:v>E006</x:v>
      </x:c>
      <x:c r="C131" t="str">
        <x:v>한유진</x:v>
      </x:c>
      <x:c r="D131" t="str">
        <x:v>영업</x:v>
      </x:c>
      <x:c r="E131" t="str">
        <x:v>출근</x:v>
      </x:c>
      <x:c r="F131" s="18" t="n">
        <x:v>0.375</x:v>
      </x:c>
      <x:c r="G131" s="18" t="n">
        <x:v>0.7708333333333334</x:v>
      </x:c>
      <x:c r="H131" s="20" t="n">
        <x:v>1</x:v>
      </x:c>
      <x:c r="I131" s="21" t="n">
        <x:f>IF(E131&lt;&gt;"출근",0,ROUND(MAX(0,(G131-F131)*24-H131),2))</x:f>
        <x:v>8.5</x:v>
      </x:c>
      <x:c r="J131" s="28" t="n">
        <x:f>IF(E131&lt;&gt;"출근",0,MAX(0,ROUND((F131-TIME(9,0,0))*1440,0)))</x:f>
        <x:v>0</x:v>
      </x:c>
      <x:c r="K131" s="21" t="n">
        <x:f>IF(E131&lt;&gt;"출근",0,MAX(0,I131-8))</x:f>
        <x:v>0.5</x:v>
      </x:c>
      <x:c r="L131" s="14" t="str">
        <x:f>IF(E131="연차","연차",IF(E131="결근","결근",IF(J131&gt;0,"지각","정상")))</x:f>
        <x:v>정상</x:v>
      </x:c>
      <x:c r="M131"/>
    </x:row>
    <x:row r="132">
      <x:c r="A132" s="16" t="n">
        <x:v>46349</x:v>
      </x:c>
      <x:c r="B132" t="str">
        <x:v>E007</x:v>
      </x:c>
      <x:c r="C132" t="str">
        <x:v>오지훈</x:v>
      </x:c>
      <x:c r="D132" t="str">
        <x:v>물류</x:v>
      </x:c>
      <x:c r="E132" t="str">
        <x:v>출근</x:v>
      </x:c>
      <x:c r="F132" s="18" t="n">
        <x:v>0.375</x:v>
      </x:c>
      <x:c r="G132" s="18" t="n">
        <x:v>0.8125</x:v>
      </x:c>
      <x:c r="H132" s="20" t="n">
        <x:v>1</x:v>
      </x:c>
      <x:c r="I132" s="21" t="n">
        <x:f>IF(E132&lt;&gt;"출근",0,ROUND(MAX(0,(G132-F132)*24-H132),2))</x:f>
        <x:v>9.5</x:v>
      </x:c>
      <x:c r="J132" s="28" t="n">
        <x:f>IF(E132&lt;&gt;"출근",0,MAX(0,ROUND((F132-TIME(9,0,0))*1440,0)))</x:f>
        <x:v>0</x:v>
      </x:c>
      <x:c r="K132" s="21" t="n">
        <x:f>IF(E132&lt;&gt;"출근",0,MAX(0,I132-8))</x:f>
        <x:v>1.5</x:v>
      </x:c>
      <x:c r="L132" s="14" t="str">
        <x:f>IF(E132="연차","연차",IF(E132="결근","결근",IF(J132&gt;0,"지각","정상")))</x:f>
        <x:v>정상</x:v>
      </x:c>
      <x:c r="M132"/>
    </x:row>
    <x:row r="133">
      <x:c r="A133" s="16" t="n">
        <x:v>46349</x:v>
      </x:c>
      <x:c r="B133" t="str">
        <x:v>E008</x:v>
      </x:c>
      <x:c r="C133" t="str">
        <x:v>강수빈</x:v>
      </x:c>
      <x:c r="D133" t="str">
        <x:v>총무</x:v>
      </x:c>
      <x:c r="E133" t="str">
        <x:v>출근</x:v>
      </x:c>
      <x:c r="F133" s="18" t="n">
        <x:v>0.38333333333333336</x:v>
      </x:c>
      <x:c r="G133" s="18" t="n">
        <x:v>0.75</x:v>
      </x:c>
      <x:c r="H133" s="20" t="n">
        <x:v>1</x:v>
      </x:c>
      <x:c r="I133" s="21" t="n">
        <x:f>IF(E133&lt;&gt;"출근",0,ROUND(MAX(0,(G133-F133)*24-H133),2))</x:f>
        <x:v>7.8</x:v>
      </x:c>
      <x:c r="J133" s="28" t="n">
        <x:f>IF(E133&lt;&gt;"출근",0,MAX(0,ROUND((F133-TIME(9,0,0))*1440,0)))</x:f>
        <x:v>12</x:v>
      </x:c>
      <x:c r="K133" s="21" t="n">
        <x:f>IF(E133&lt;&gt;"출근",0,MAX(0,I133-8))</x:f>
        <x:v>0</x:v>
      </x:c>
      <x:c r="L133" s="14" t="str">
        <x:f>IF(E133="연차","연차",IF(E133="결근","결근",IF(J133&gt;0,"지각","정상")))</x:f>
        <x:v>지각</x:v>
      </x:c>
      <x:c r="M133"/>
    </x:row>
    <x:row r="134">
      <x:c r="A134" s="16" t="n">
        <x:v>46350</x:v>
      </x:c>
      <x:c r="B134" t="str">
        <x:v>E001</x:v>
      </x:c>
      <x:c r="C134" t="str">
        <x:v>김민수</x:v>
      </x:c>
      <x:c r="D134" t="str">
        <x:v>영업</x:v>
      </x:c>
      <x:c r="E134" t="str">
        <x:v>출근</x:v>
      </x:c>
      <x:c r="F134" s="18" t="n">
        <x:v>0.39444444444444443</x:v>
      </x:c>
      <x:c r="G134" s="18" t="n">
        <x:v>0.75</x:v>
      </x:c>
      <x:c r="H134" s="20" t="n">
        <x:v>1</x:v>
      </x:c>
      <x:c r="I134" s="21" t="n">
        <x:f>IF(E134&lt;&gt;"출근",0,ROUND(MAX(0,(G134-F134)*24-H134),2))</x:f>
        <x:v>7.53</x:v>
      </x:c>
      <x:c r="J134" s="28" t="n">
        <x:f>IF(E134&lt;&gt;"출근",0,MAX(0,ROUND((F134-TIME(9,0,0))*1440,0)))</x:f>
        <x:v>28</x:v>
      </x:c>
      <x:c r="K134" s="21" t="n">
        <x:f>IF(E134&lt;&gt;"출근",0,MAX(0,I134-8))</x:f>
        <x:v>0</x:v>
      </x:c>
      <x:c r="L134" s="14" t="str">
        <x:f>IF(E134="연차","연차",IF(E134="결근","결근",IF(J134&gt;0,"지각","정상")))</x:f>
        <x:v>지각</x:v>
      </x:c>
      <x:c r="M134"/>
    </x:row>
    <x:row r="135">
      <x:c r="A135" s="16" t="n">
        <x:v>46350</x:v>
      </x:c>
      <x:c r="B135" t="str">
        <x:v>E002</x:v>
      </x:c>
      <x:c r="C135" t="str">
        <x:v>이서연</x:v>
      </x:c>
      <x:c r="D135" t="str">
        <x:v>총무</x:v>
      </x:c>
      <x:c r="E135" t="str">
        <x:v>출근</x:v>
      </x:c>
      <x:c r="F135" s="18" t="n">
        <x:v>0.375</x:v>
      </x:c>
      <x:c r="G135" s="18" t="n">
        <x:v>0.7708333333333334</x:v>
      </x:c>
      <x:c r="H135" s="20" t="n">
        <x:v>1</x:v>
      </x:c>
      <x:c r="I135" s="21" t="n">
        <x:f>IF(E135&lt;&gt;"출근",0,ROUND(MAX(0,(G135-F135)*24-H135),2))</x:f>
        <x:v>8.5</x:v>
      </x:c>
      <x:c r="J135" s="28" t="n">
        <x:f>IF(E135&lt;&gt;"출근",0,MAX(0,ROUND((F135-TIME(9,0,0))*1440,0)))</x:f>
        <x:v>0</x:v>
      </x:c>
      <x:c r="K135" s="21" t="n">
        <x:f>IF(E135&lt;&gt;"출근",0,MAX(0,I135-8))</x:f>
        <x:v>0.5</x:v>
      </x:c>
      <x:c r="L135" s="14" t="str">
        <x:f>IF(E135="연차","연차",IF(E135="결근","결근",IF(J135&gt;0,"지각","정상")))</x:f>
        <x:v>정상</x:v>
      </x:c>
      <x:c r="M135"/>
    </x:row>
    <x:row r="136">
      <x:c r="A136" s="16" t="n">
        <x:v>46350</x:v>
      </x:c>
      <x:c r="B136" t="str">
        <x:v>E003</x:v>
      </x:c>
      <x:c r="C136" t="str">
        <x:v>박준호</x:v>
      </x:c>
      <x:c r="D136" t="str">
        <x:v>물류</x:v>
      </x:c>
      <x:c r="E136" t="str">
        <x:v>출근</x:v>
      </x:c>
      <x:c r="F136" s="18" t="n">
        <x:v>0.37916666666666665</x:v>
      </x:c>
      <x:c r="G136" s="18" t="n">
        <x:v>0.8125</x:v>
      </x:c>
      <x:c r="H136" s="20" t="n">
        <x:v>1</x:v>
      </x:c>
      <x:c r="I136" s="21" t="n">
        <x:f>IF(E136&lt;&gt;"출근",0,ROUND(MAX(0,(G136-F136)*24-H136),2))</x:f>
        <x:v>9.4</x:v>
      </x:c>
      <x:c r="J136" s="28" t="n">
        <x:f>IF(E136&lt;&gt;"출근",0,MAX(0,ROUND((F136-TIME(9,0,0))*1440,0)))</x:f>
        <x:v>6</x:v>
      </x:c>
      <x:c r="K136" s="21" t="n">
        <x:f>IF(E136&lt;&gt;"출근",0,MAX(0,I136-8))</x:f>
        <x:v>1.4000000000000004</x:v>
      </x:c>
      <x:c r="L136" s="14" t="str">
        <x:f>IF(E136="연차","연차",IF(E136="결근","결근",IF(J136&gt;0,"지각","정상")))</x:f>
        <x:v>지각</x:v>
      </x:c>
      <x:c r="M136"/>
    </x:row>
    <x:row r="137">
      <x:c r="A137" s="16" t="n">
        <x:v>46350</x:v>
      </x:c>
      <x:c r="B137" t="str">
        <x:v>E004</x:v>
      </x:c>
      <x:c r="C137" t="str">
        <x:v>최지은</x:v>
      </x:c>
      <x:c r="D137" t="str">
        <x:v>생산</x:v>
      </x:c>
      <x:c r="E137" t="str">
        <x:v>출근</x:v>
      </x:c>
      <x:c r="F137" s="18" t="n">
        <x:v>0.39444444444444443</x:v>
      </x:c>
      <x:c r="G137" s="18" t="n">
        <x:v>0.75</x:v>
      </x:c>
      <x:c r="H137" s="20" t="n">
        <x:v>1</x:v>
      </x:c>
      <x:c r="I137" s="21" t="n">
        <x:f>IF(E137&lt;&gt;"출근",0,ROUND(MAX(0,(G137-F137)*24-H137),2))</x:f>
        <x:v>7.53</x:v>
      </x:c>
      <x:c r="J137" s="28" t="n">
        <x:f>IF(E137&lt;&gt;"출근",0,MAX(0,ROUND((F137-TIME(9,0,0))*1440,0)))</x:f>
        <x:v>28</x:v>
      </x:c>
      <x:c r="K137" s="21" t="n">
        <x:f>IF(E137&lt;&gt;"출근",0,MAX(0,I137-8))</x:f>
        <x:v>0</x:v>
      </x:c>
      <x:c r="L137" s="14" t="str">
        <x:f>IF(E137="연차","연차",IF(E137="결근","결근",IF(J137&gt;0,"지각","정상")))</x:f>
        <x:v>지각</x:v>
      </x:c>
      <x:c r="M137"/>
    </x:row>
    <x:row r="138">
      <x:c r="A138" s="16" t="n">
        <x:v>46350</x:v>
      </x:c>
      <x:c r="B138" t="str">
        <x:v>E005</x:v>
      </x:c>
      <x:c r="C138" t="str">
        <x:v>정현우</x:v>
      </x:c>
      <x:c r="D138" t="str">
        <x:v>생산</x:v>
      </x:c>
      <x:c r="E138" t="str">
        <x:v>출근</x:v>
      </x:c>
      <x:c r="F138" s="18" t="n">
        <x:v>0.375</x:v>
      </x:c>
      <x:c r="G138" s="18" t="n">
        <x:v>0.75</x:v>
      </x:c>
      <x:c r="H138" s="20" t="n">
        <x:v>1</x:v>
      </x:c>
      <x:c r="I138" s="21" t="n">
        <x:f>IF(E138&lt;&gt;"출근",0,ROUND(MAX(0,(G138-F138)*24-H138),2))</x:f>
        <x:v>8</x:v>
      </x:c>
      <x:c r="J138" s="28" t="n">
        <x:f>IF(E138&lt;&gt;"출근",0,MAX(0,ROUND((F138-TIME(9,0,0))*1440,0)))</x:f>
        <x:v>0</x:v>
      </x:c>
      <x:c r="K138" s="21" t="n">
        <x:f>IF(E138&lt;&gt;"출근",0,MAX(0,I138-8))</x:f>
        <x:v>0</x:v>
      </x:c>
      <x:c r="L138" s="14" t="str">
        <x:f>IF(E138="연차","연차",IF(E138="결근","결근",IF(J138&gt;0,"지각","정상")))</x:f>
        <x:v>정상</x:v>
      </x:c>
      <x:c r="M138"/>
    </x:row>
    <x:row r="139">
      <x:c r="A139" s="16" t="n">
        <x:v>46350</x:v>
      </x:c>
      <x:c r="B139" t="str">
        <x:v>E006</x:v>
      </x:c>
      <x:c r="C139" t="str">
        <x:v>한유진</x:v>
      </x:c>
      <x:c r="D139" t="str">
        <x:v>영업</x:v>
      </x:c>
      <x:c r="E139" t="str">
        <x:v>출근</x:v>
      </x:c>
      <x:c r="F139" s="18" t="n">
        <x:v>0.37916666666666665</x:v>
      </x:c>
      <x:c r="G139" s="18" t="n">
        <x:v>0.7916666666666666</x:v>
      </x:c>
      <x:c r="H139" s="20" t="n">
        <x:v>1</x:v>
      </x:c>
      <x:c r="I139" s="21" t="n">
        <x:f>IF(E139&lt;&gt;"출근",0,ROUND(MAX(0,(G139-F139)*24-H139),2))</x:f>
        <x:v>8.9</x:v>
      </x:c>
      <x:c r="J139" s="28" t="n">
        <x:f>IF(E139&lt;&gt;"출근",0,MAX(0,ROUND((F139-TIME(9,0,0))*1440,0)))</x:f>
        <x:v>6</x:v>
      </x:c>
      <x:c r="K139" s="21" t="n">
        <x:f>IF(E139&lt;&gt;"출근",0,MAX(0,I139-8))</x:f>
        <x:v>0.9000000000000004</x:v>
      </x:c>
      <x:c r="L139" s="14" t="str">
        <x:f>IF(E139="연차","연차",IF(E139="결근","결근",IF(J139&gt;0,"지각","정상")))</x:f>
        <x:v>지각</x:v>
      </x:c>
      <x:c r="M139"/>
    </x:row>
    <x:row r="140">
      <x:c r="A140" s="16" t="n">
        <x:v>46350</x:v>
      </x:c>
      <x:c r="B140" t="str">
        <x:v>E007</x:v>
      </x:c>
      <x:c r="C140" t="str">
        <x:v>오지훈</x:v>
      </x:c>
      <x:c r="D140" t="str">
        <x:v>물류</x:v>
      </x:c>
      <x:c r="E140" t="str">
        <x:v>출근</x:v>
      </x:c>
      <x:c r="F140" s="18" t="n">
        <x:v>0.39444444444444443</x:v>
      </x:c>
      <x:c r="G140" s="18" t="n">
        <x:v>0.75</x:v>
      </x:c>
      <x:c r="H140" s="20" t="n">
        <x:v>1</x:v>
      </x:c>
      <x:c r="I140" s="21" t="n">
        <x:f>IF(E140&lt;&gt;"출근",0,ROUND(MAX(0,(G140-F140)*24-H140),2))</x:f>
        <x:v>7.53</x:v>
      </x:c>
      <x:c r="J140" s="28" t="n">
        <x:f>IF(E140&lt;&gt;"출근",0,MAX(0,ROUND((F140-TIME(9,0,0))*1440,0)))</x:f>
        <x:v>28</x:v>
      </x:c>
      <x:c r="K140" s="21" t="n">
        <x:f>IF(E140&lt;&gt;"출근",0,MAX(0,I140-8))</x:f>
        <x:v>0</x:v>
      </x:c>
      <x:c r="L140" s="14" t="str">
        <x:f>IF(E140="연차","연차",IF(E140="결근","결근",IF(J140&gt;0,"지각","정상")))</x:f>
        <x:v>지각</x:v>
      </x:c>
      <x:c r="M140"/>
    </x:row>
    <x:row r="141">
      <x:c r="A141" s="16" t="n">
        <x:v>46350</x:v>
      </x:c>
      <x:c r="B141" t="str">
        <x:v>E008</x:v>
      </x:c>
      <x:c r="C141" t="str">
        <x:v>강수빈</x:v>
      </x:c>
      <x:c r="D141" t="str">
        <x:v>총무</x:v>
      </x:c>
      <x:c r="E141" t="str">
        <x:v>출근</x:v>
      </x:c>
      <x:c r="F141" s="18" t="n">
        <x:v>0.375</x:v>
      </x:c>
      <x:c r="G141" s="18" t="n">
        <x:v>0.75</x:v>
      </x:c>
      <x:c r="H141" s="20" t="n">
        <x:v>1</x:v>
      </x:c>
      <x:c r="I141" s="21" t="n">
        <x:f>IF(E141&lt;&gt;"출근",0,ROUND(MAX(0,(G141-F141)*24-H141),2))</x:f>
        <x:v>8</x:v>
      </x:c>
      <x:c r="J141" s="28" t="n">
        <x:f>IF(E141&lt;&gt;"출근",0,MAX(0,ROUND((F141-TIME(9,0,0))*1440,0)))</x:f>
        <x:v>0</x:v>
      </x:c>
      <x:c r="K141" s="21" t="n">
        <x:f>IF(E141&lt;&gt;"출근",0,MAX(0,I141-8))</x:f>
        <x:v>0</x:v>
      </x:c>
      <x:c r="L141" s="14" t="str">
        <x:f>IF(E141="연차","연차",IF(E141="결근","결근",IF(J141&gt;0,"지각","정상")))</x:f>
        <x:v>정상</x:v>
      </x:c>
      <x:c r="M141"/>
    </x:row>
    <x:row r="142">
      <x:c r="A142" s="16" t="n">
        <x:v>46351</x:v>
      </x:c>
      <x:c r="B142" t="str">
        <x:v>E001</x:v>
      </x:c>
      <x:c r="C142" t="str">
        <x:v>김민수</x:v>
      </x:c>
      <x:c r="D142" t="str">
        <x:v>영업</x:v>
      </x:c>
      <x:c r="E142" t="str">
        <x:v>출근</x:v>
      </x:c>
      <x:c r="F142" s="18" t="n">
        <x:v>0.375</x:v>
      </x:c>
      <x:c r="G142" s="18" t="n">
        <x:v>0.75</x:v>
      </x:c>
      <x:c r="H142" s="20" t="n">
        <x:v>1</x:v>
      </x:c>
      <x:c r="I142" s="21" t="n">
        <x:f>IF(E142&lt;&gt;"출근",0,ROUND(MAX(0,(G142-F142)*24-H142),2))</x:f>
        <x:v>8</x:v>
      </x:c>
      <x:c r="J142" s="28" t="n">
        <x:f>IF(E142&lt;&gt;"출근",0,MAX(0,ROUND((F142-TIME(9,0,0))*1440,0)))</x:f>
        <x:v>0</x:v>
      </x:c>
      <x:c r="K142" s="21" t="n">
        <x:f>IF(E142&lt;&gt;"출근",0,MAX(0,I142-8))</x:f>
        <x:v>0</x:v>
      </x:c>
      <x:c r="L142" s="14" t="str">
        <x:f>IF(E142="연차","연차",IF(E142="결근","결근",IF(J142&gt;0,"지각","정상")))</x:f>
        <x:v>정상</x:v>
      </x:c>
      <x:c r="M142"/>
    </x:row>
    <x:row r="143">
      <x:c r="A143" s="16" t="n">
        <x:v>46351</x:v>
      </x:c>
      <x:c r="B143" t="str">
        <x:v>E002</x:v>
      </x:c>
      <x:c r="C143" t="str">
        <x:v>이서연</x:v>
      </x:c>
      <x:c r="D143" t="str">
        <x:v>총무</x:v>
      </x:c>
      <x:c r="E143" t="str">
        <x:v>출근</x:v>
      </x:c>
      <x:c r="F143" s="18" t="n">
        <x:v>0.38819444444444445</x:v>
      </x:c>
      <x:c r="G143" s="18" t="n">
        <x:v>0.7916666666666666</x:v>
      </x:c>
      <x:c r="H143" s="20" t="n">
        <x:v>1</x:v>
      </x:c>
      <x:c r="I143" s="21" t="n">
        <x:f>IF(E143&lt;&gt;"출근",0,ROUND(MAX(0,(G143-F143)*24-H143),2))</x:f>
        <x:v>8.68</x:v>
      </x:c>
      <x:c r="J143" s="28" t="n">
        <x:f>IF(E143&lt;&gt;"출근",0,MAX(0,ROUND((F143-TIME(9,0,0))*1440,0)))</x:f>
        <x:v>19</x:v>
      </x:c>
      <x:c r="K143" s="21" t="n">
        <x:f>IF(E143&lt;&gt;"출근",0,MAX(0,I143-8))</x:f>
        <x:v>0.6799999999999997</x:v>
      </x:c>
      <x:c r="L143" s="14" t="str">
        <x:f>IF(E143="연차","연차",IF(E143="결근","결근",IF(J143&gt;0,"지각","정상")))</x:f>
        <x:v>지각</x:v>
      </x:c>
      <x:c r="M143"/>
    </x:row>
    <x:row r="144">
      <x:c r="A144" s="16" t="n">
        <x:v>46351</x:v>
      </x:c>
      <x:c r="B144" t="str">
        <x:v>E003</x:v>
      </x:c>
      <x:c r="C144" t="str">
        <x:v>박준호</x:v>
      </x:c>
      <x:c r="D144" t="str">
        <x:v>물류</x:v>
      </x:c>
      <x:c r="E144" t="str">
        <x:v>출근</x:v>
      </x:c>
      <x:c r="F144" s="18" t="n">
        <x:v>0.375</x:v>
      </x:c>
      <x:c r="G144" s="18" t="n">
        <x:v>0.75</x:v>
      </x:c>
      <x:c r="H144" s="20" t="n">
        <x:v>1</x:v>
      </x:c>
      <x:c r="I144" s="21" t="n">
        <x:f>IF(E144&lt;&gt;"출근",0,ROUND(MAX(0,(G144-F144)*24-H144),2))</x:f>
        <x:v>8</x:v>
      </x:c>
      <x:c r="J144" s="28" t="n">
        <x:f>IF(E144&lt;&gt;"출근",0,MAX(0,ROUND((F144-TIME(9,0,0))*1440,0)))</x:f>
        <x:v>0</x:v>
      </x:c>
      <x:c r="K144" s="21" t="n">
        <x:f>IF(E144&lt;&gt;"출근",0,MAX(0,I144-8))</x:f>
        <x:v>0</x:v>
      </x:c>
      <x:c r="L144" s="14" t="str">
        <x:f>IF(E144="연차","연차",IF(E144="결근","결근",IF(J144&gt;0,"지각","정상")))</x:f>
        <x:v>정상</x:v>
      </x:c>
      <x:c r="M144"/>
    </x:row>
    <x:row r="145">
      <x:c r="A145" s="16" t="n">
        <x:v>46351</x:v>
      </x:c>
      <x:c r="B145" t="str">
        <x:v>E004</x:v>
      </x:c>
      <x:c r="C145" t="str">
        <x:v>최지은</x:v>
      </x:c>
      <x:c r="D145" t="str">
        <x:v>생산</x:v>
      </x:c>
      <x:c r="E145" t="str">
        <x:v>출근</x:v>
      </x:c>
      <x:c r="F145" s="18" t="n">
        <x:v>0.375</x:v>
      </x:c>
      <x:c r="G145" s="18" t="n">
        <x:v>0.75</x:v>
      </x:c>
      <x:c r="H145" s="20" t="n">
        <x:v>1</x:v>
      </x:c>
      <x:c r="I145" s="21" t="n">
        <x:f>IF(E145&lt;&gt;"출근",0,ROUND(MAX(0,(G145-F145)*24-H145),2))</x:f>
        <x:v>8</x:v>
      </x:c>
      <x:c r="J145" s="28" t="n">
        <x:f>IF(E145&lt;&gt;"출근",0,MAX(0,ROUND((F145-TIME(9,0,0))*1440,0)))</x:f>
        <x:v>0</x:v>
      </x:c>
      <x:c r="K145" s="21" t="n">
        <x:f>IF(E145&lt;&gt;"출근",0,MAX(0,I145-8))</x:f>
        <x:v>0</x:v>
      </x:c>
      <x:c r="L145" s="14" t="str">
        <x:f>IF(E145="연차","연차",IF(E145="결근","결근",IF(J145&gt;0,"지각","정상")))</x:f>
        <x:v>정상</x:v>
      </x:c>
      <x:c r="M145"/>
    </x:row>
    <x:row r="146">
      <x:c r="A146" s="16" t="n">
        <x:v>46351</x:v>
      </x:c>
      <x:c r="B146" t="str">
        <x:v>E005</x:v>
      </x:c>
      <x:c r="C146" t="str">
        <x:v>정현우</x:v>
      </x:c>
      <x:c r="D146" t="str">
        <x:v>생산</x:v>
      </x:c>
      <x:c r="E146" t="str">
        <x:v>출근</x:v>
      </x:c>
      <x:c r="F146" s="18" t="n">
        <x:v>0.38819444444444445</x:v>
      </x:c>
      <x:c r="G146" s="18" t="n">
        <x:v>0.7708333333333334</x:v>
      </x:c>
      <x:c r="H146" s="20" t="n">
        <x:v>1</x:v>
      </x:c>
      <x:c r="I146" s="21" t="n">
        <x:f>IF(E146&lt;&gt;"출근",0,ROUND(MAX(0,(G146-F146)*24-H146),2))</x:f>
        <x:v>8.18</x:v>
      </x:c>
      <x:c r="J146" s="28" t="n">
        <x:f>IF(E146&lt;&gt;"출근",0,MAX(0,ROUND((F146-TIME(9,0,0))*1440,0)))</x:f>
        <x:v>19</x:v>
      </x:c>
      <x:c r="K146" s="21" t="n">
        <x:f>IF(E146&lt;&gt;"출근",0,MAX(0,I146-8))</x:f>
        <x:v>0.17999999999999972</x:v>
      </x:c>
      <x:c r="L146" s="14" t="str">
        <x:f>IF(E146="연차","연차",IF(E146="결근","결근",IF(J146&gt;0,"지각","정상")))</x:f>
        <x:v>지각</x:v>
      </x:c>
      <x:c r="M146"/>
    </x:row>
    <x:row r="147">
      <x:c r="A147" s="16" t="n">
        <x:v>46351</x:v>
      </x:c>
      <x:c r="B147" t="str">
        <x:v>E006</x:v>
      </x:c>
      <x:c r="C147" t="str">
        <x:v>한유진</x:v>
      </x:c>
      <x:c r="D147" t="str">
        <x:v>영업</x:v>
      </x:c>
      <x:c r="E147" t="str">
        <x:v>출근</x:v>
      </x:c>
      <x:c r="F147" s="18" t="n">
        <x:v>0.375</x:v>
      </x:c>
      <x:c r="G147" s="18" t="n">
        <x:v>0.8125</x:v>
      </x:c>
      <x:c r="H147" s="20" t="n">
        <x:v>1</x:v>
      </x:c>
      <x:c r="I147" s="21" t="n">
        <x:f>IF(E147&lt;&gt;"출근",0,ROUND(MAX(0,(G147-F147)*24-H147),2))</x:f>
        <x:v>9.5</x:v>
      </x:c>
      <x:c r="J147" s="28" t="n">
        <x:f>IF(E147&lt;&gt;"출근",0,MAX(0,ROUND((F147-TIME(9,0,0))*1440,0)))</x:f>
        <x:v>0</x:v>
      </x:c>
      <x:c r="K147" s="21" t="n">
        <x:f>IF(E147&lt;&gt;"출근",0,MAX(0,I147-8))</x:f>
        <x:v>1.5</x:v>
      </x:c>
      <x:c r="L147" s="14" t="str">
        <x:f>IF(E147="연차","연차",IF(E147="결근","결근",IF(J147&gt;0,"지각","정상")))</x:f>
        <x:v>정상</x:v>
      </x:c>
      <x:c r="M147"/>
    </x:row>
    <x:row r="148">
      <x:c r="A148" s="16" t="n">
        <x:v>46351</x:v>
      </x:c>
      <x:c r="B148" t="str">
        <x:v>E007</x:v>
      </x:c>
      <x:c r="C148" t="str">
        <x:v>오지훈</x:v>
      </x:c>
      <x:c r="D148" t="str">
        <x:v>물류</x:v>
      </x:c>
      <x:c r="E148" t="str">
        <x:v>출근</x:v>
      </x:c>
      <x:c r="F148" s="18" t="n">
        <x:v>0.375</x:v>
      </x:c>
      <x:c r="G148" s="18" t="n">
        <x:v>0.75</x:v>
      </x:c>
      <x:c r="H148" s="20" t="n">
        <x:v>1</x:v>
      </x:c>
      <x:c r="I148" s="21" t="n">
        <x:f>IF(E148&lt;&gt;"출근",0,ROUND(MAX(0,(G148-F148)*24-H148),2))</x:f>
        <x:v>8</x:v>
      </x:c>
      <x:c r="J148" s="28" t="n">
        <x:f>IF(E148&lt;&gt;"출근",0,MAX(0,ROUND((F148-TIME(9,0,0))*1440,0)))</x:f>
        <x:v>0</x:v>
      </x:c>
      <x:c r="K148" s="21" t="n">
        <x:f>IF(E148&lt;&gt;"출근",0,MAX(0,I148-8))</x:f>
        <x:v>0</x:v>
      </x:c>
      <x:c r="L148" s="14" t="str">
        <x:f>IF(E148="연차","연차",IF(E148="결근","결근",IF(J148&gt;0,"지각","정상")))</x:f>
        <x:v>정상</x:v>
      </x:c>
      <x:c r="M148"/>
    </x:row>
    <x:row r="149">
      <x:c r="A149" s="16" t="n">
        <x:v>46351</x:v>
      </x:c>
      <x:c r="B149" t="str">
        <x:v>E008</x:v>
      </x:c>
      <x:c r="C149" t="str">
        <x:v>강수빈</x:v>
      </x:c>
      <x:c r="D149" t="str">
        <x:v>총무</x:v>
      </x:c>
      <x:c r="E149" t="str">
        <x:v>출근</x:v>
      </x:c>
      <x:c r="F149" s="18" t="n">
        <x:v>0.38819444444444445</x:v>
      </x:c>
      <x:c r="G149" s="18" t="n">
        <x:v>0.75</x:v>
      </x:c>
      <x:c r="H149" s="20" t="n">
        <x:v>1</x:v>
      </x:c>
      <x:c r="I149" s="21" t="n">
        <x:f>IF(E149&lt;&gt;"출근",0,ROUND(MAX(0,(G149-F149)*24-H149),2))</x:f>
        <x:v>7.68</x:v>
      </x:c>
      <x:c r="J149" s="28" t="n">
        <x:f>IF(E149&lt;&gt;"출근",0,MAX(0,ROUND((F149-TIME(9,0,0))*1440,0)))</x:f>
        <x:v>19</x:v>
      </x:c>
      <x:c r="K149" s="21" t="n">
        <x:f>IF(E149&lt;&gt;"출근",0,MAX(0,I149-8))</x:f>
        <x:v>0</x:v>
      </x:c>
      <x:c r="L149" s="14" t="str">
        <x:f>IF(E149="연차","연차",IF(E149="결근","결근",IF(J149&gt;0,"지각","정상")))</x:f>
        <x:v>지각</x:v>
      </x:c>
      <x:c r="M149"/>
    </x:row>
    <x:row r="150">
      <x:c r="A150" s="16" t="n">
        <x:v>46352</x:v>
      </x:c>
      <x:c r="B150" t="str">
        <x:v>E001</x:v>
      </x:c>
      <x:c r="C150" t="str">
        <x:v>김민수</x:v>
      </x:c>
      <x:c r="D150" t="str">
        <x:v>영업</x:v>
      </x:c>
      <x:c r="E150" t="str">
        <x:v>출근</x:v>
      </x:c>
      <x:c r="F150" s="18" t="n">
        <x:v>0.375</x:v>
      </x:c>
      <x:c r="G150" s="18" t="n">
        <x:v>0.7708333333333334</x:v>
      </x:c>
      <x:c r="H150" s="20" t="n">
        <x:v>1</x:v>
      </x:c>
      <x:c r="I150" s="21" t="n">
        <x:f>IF(E150&lt;&gt;"출근",0,ROUND(MAX(0,(G150-F150)*24-H150),2))</x:f>
        <x:v>8.5</x:v>
      </x:c>
      <x:c r="J150" s="28" t="n">
        <x:f>IF(E150&lt;&gt;"출근",0,MAX(0,ROUND((F150-TIME(9,0,0))*1440,0)))</x:f>
        <x:v>0</x:v>
      </x:c>
      <x:c r="K150" s="21" t="n">
        <x:f>IF(E150&lt;&gt;"출근",0,MAX(0,I150-8))</x:f>
        <x:v>0.5</x:v>
      </x:c>
      <x:c r="L150" s="14" t="str">
        <x:f>IF(E150="연차","연차",IF(E150="결근","결근",IF(J150&gt;0,"지각","정상")))</x:f>
        <x:v>정상</x:v>
      </x:c>
      <x:c r="M150"/>
    </x:row>
    <x:row r="151">
      <x:c r="A151" s="16" t="n">
        <x:v>46352</x:v>
      </x:c>
      <x:c r="B151" t="str">
        <x:v>E002</x:v>
      </x:c>
      <x:c r="C151" t="str">
        <x:v>이서연</x:v>
      </x:c>
      <x:c r="D151" t="str">
        <x:v>총무</x:v>
      </x:c>
      <x:c r="E151" t="str">
        <x:v>출근</x:v>
      </x:c>
      <x:c r="F151" s="18" t="n">
        <x:v>0.375</x:v>
      </x:c>
      <x:c r="G151" s="18" t="n">
        <x:v>0.8125</x:v>
      </x:c>
      <x:c r="H151" s="20" t="n">
        <x:v>1</x:v>
      </x:c>
      <x:c r="I151" s="21" t="n">
        <x:f>IF(E151&lt;&gt;"출근",0,ROUND(MAX(0,(G151-F151)*24-H151),2))</x:f>
        <x:v>9.5</x:v>
      </x:c>
      <x:c r="J151" s="28" t="n">
        <x:f>IF(E151&lt;&gt;"출근",0,MAX(0,ROUND((F151-TIME(9,0,0))*1440,0)))</x:f>
        <x:v>0</x:v>
      </x:c>
      <x:c r="K151" s="21" t="n">
        <x:f>IF(E151&lt;&gt;"출근",0,MAX(0,I151-8))</x:f>
        <x:v>1.5</x:v>
      </x:c>
      <x:c r="L151" s="14" t="str">
        <x:f>IF(E151="연차","연차",IF(E151="결근","결근",IF(J151&gt;0,"지각","정상")))</x:f>
        <x:v>정상</x:v>
      </x:c>
      <x:c r="M151"/>
    </x:row>
    <x:row r="152">
      <x:c r="A152" s="16" t="n">
        <x:v>46352</x:v>
      </x:c>
      <x:c r="B152" t="str">
        <x:v>E003</x:v>
      </x:c>
      <x:c r="C152" t="str">
        <x:v>박준호</x:v>
      </x:c>
      <x:c r="D152" t="str">
        <x:v>물류</x:v>
      </x:c>
      <x:c r="E152" t="str">
        <x:v>출근</x:v>
      </x:c>
      <x:c r="F152" s="18" t="n">
        <x:v>0.38333333333333336</x:v>
      </x:c>
      <x:c r="G152" s="18" t="n">
        <x:v>0.75</x:v>
      </x:c>
      <x:c r="H152" s="20" t="n">
        <x:v>1</x:v>
      </x:c>
      <x:c r="I152" s="21" t="n">
        <x:f>IF(E152&lt;&gt;"출근",0,ROUND(MAX(0,(G152-F152)*24-H152),2))</x:f>
        <x:v>7.8</x:v>
      </x:c>
      <x:c r="J152" s="28" t="n">
        <x:f>IF(E152&lt;&gt;"출근",0,MAX(0,ROUND((F152-TIME(9,0,0))*1440,0)))</x:f>
        <x:v>12</x:v>
      </x:c>
      <x:c r="K152" s="21" t="n">
        <x:f>IF(E152&lt;&gt;"출근",0,MAX(0,I152-8))</x:f>
        <x:v>0</x:v>
      </x:c>
      <x:c r="L152" s="14" t="str">
        <x:f>IF(E152="연차","연차",IF(E152="결근","결근",IF(J152&gt;0,"지각","정상")))</x:f>
        <x:v>지각</x:v>
      </x:c>
      <x:c r="M152"/>
    </x:row>
    <x:row r="153">
      <x:c r="A153" s="16" t="n">
        <x:v>46352</x:v>
      </x:c>
      <x:c r="B153" t="str">
        <x:v>E004</x:v>
      </x:c>
      <x:c r="C153" t="str">
        <x:v>최지은</x:v>
      </x:c>
      <x:c r="D153" t="str">
        <x:v>생산</x:v>
      </x:c>
      <x:c r="E153" t="str">
        <x:v>출근</x:v>
      </x:c>
      <x:c r="F153" s="18" t="n">
        <x:v>0.375</x:v>
      </x:c>
      <x:c r="G153" s="18" t="n">
        <x:v>0.75</x:v>
      </x:c>
      <x:c r="H153" s="20" t="n">
        <x:v>1</x:v>
      </x:c>
      <x:c r="I153" s="21" t="n">
        <x:f>IF(E153&lt;&gt;"출근",0,ROUND(MAX(0,(G153-F153)*24-H153),2))</x:f>
        <x:v>8</x:v>
      </x:c>
      <x:c r="J153" s="28" t="n">
        <x:f>IF(E153&lt;&gt;"출근",0,MAX(0,ROUND((F153-TIME(9,0,0))*1440,0)))</x:f>
        <x:v>0</x:v>
      </x:c>
      <x:c r="K153" s="21" t="n">
        <x:f>IF(E153&lt;&gt;"출근",0,MAX(0,I153-8))</x:f>
        <x:v>0</x:v>
      </x:c>
      <x:c r="L153" s="14" t="str">
        <x:f>IF(E153="연차","연차",IF(E153="결근","결근",IF(J153&gt;0,"지각","정상")))</x:f>
        <x:v>정상</x:v>
      </x:c>
      <x:c r="M153"/>
    </x:row>
    <x:row r="154">
      <x:c r="A154" s="16" t="n">
        <x:v>46352</x:v>
      </x:c>
      <x:c r="B154" t="str">
        <x:v>E005</x:v>
      </x:c>
      <x:c r="C154" t="str">
        <x:v>정현우</x:v>
      </x:c>
      <x:c r="D154" t="str">
        <x:v>생산</x:v>
      </x:c>
      <x:c r="E154" t="str">
        <x:v>출근</x:v>
      </x:c>
      <x:c r="F154" s="18" t="n">
        <x:v>0.375</x:v>
      </x:c>
      <x:c r="G154" s="18" t="n">
        <x:v>0.7916666666666666</x:v>
      </x:c>
      <x:c r="H154" s="20" t="n">
        <x:v>1</x:v>
      </x:c>
      <x:c r="I154" s="21" t="n">
        <x:f>IF(E154&lt;&gt;"출근",0,ROUND(MAX(0,(G154-F154)*24-H154),2))</x:f>
        <x:v>9</x:v>
      </x:c>
      <x:c r="J154" s="28" t="n">
        <x:f>IF(E154&lt;&gt;"출근",0,MAX(0,ROUND((F154-TIME(9,0,0))*1440,0)))</x:f>
        <x:v>0</x:v>
      </x:c>
      <x:c r="K154" s="21" t="n">
        <x:f>IF(E154&lt;&gt;"출근",0,MAX(0,I154-8))</x:f>
        <x:v>1</x:v>
      </x:c>
      <x:c r="L154" s="14" t="str">
        <x:f>IF(E154="연차","연차",IF(E154="결근","결근",IF(J154&gt;0,"지각","정상")))</x:f>
        <x:v>정상</x:v>
      </x:c>
      <x:c r="M154"/>
    </x:row>
    <x:row r="155">
      <x:c r="A155" s="16" t="n">
        <x:v>46352</x:v>
      </x:c>
      <x:c r="B155" t="str">
        <x:v>E006</x:v>
      </x:c>
      <x:c r="C155" t="str">
        <x:v>한유진</x:v>
      </x:c>
      <x:c r="D155" t="str">
        <x:v>영업</x:v>
      </x:c>
      <x:c r="E155" t="str">
        <x:v>출근</x:v>
      </x:c>
      <x:c r="F155" s="18" t="n">
        <x:v>0.38333333333333336</x:v>
      </x:c>
      <x:c r="G155" s="18" t="n">
        <x:v>0.75</x:v>
      </x:c>
      <x:c r="H155" s="20" t="n">
        <x:v>1</x:v>
      </x:c>
      <x:c r="I155" s="21" t="n">
        <x:f>IF(E155&lt;&gt;"출근",0,ROUND(MAX(0,(G155-F155)*24-H155),2))</x:f>
        <x:v>7.8</x:v>
      </x:c>
      <x:c r="J155" s="28" t="n">
        <x:f>IF(E155&lt;&gt;"출근",0,MAX(0,ROUND((F155-TIME(9,0,0))*1440,0)))</x:f>
        <x:v>12</x:v>
      </x:c>
      <x:c r="K155" s="21" t="n">
        <x:f>IF(E155&lt;&gt;"출근",0,MAX(0,I155-8))</x:f>
        <x:v>0</x:v>
      </x:c>
      <x:c r="L155" s="14" t="str">
        <x:f>IF(E155="연차","연차",IF(E155="결근","결근",IF(J155&gt;0,"지각","정상")))</x:f>
        <x:v>지각</x:v>
      </x:c>
      <x:c r="M155"/>
    </x:row>
    <x:row r="156">
      <x:c r="A156" s="16" t="n">
        <x:v>46352</x:v>
      </x:c>
      <x:c r="B156" t="str">
        <x:v>E007</x:v>
      </x:c>
      <x:c r="C156" t="str">
        <x:v>오지훈</x:v>
      </x:c>
      <x:c r="D156" t="str">
        <x:v>물류</x:v>
      </x:c>
      <x:c r="E156" t="str">
        <x:v>출근</x:v>
      </x:c>
      <x:c r="F156" s="18" t="n">
        <x:v>0.375</x:v>
      </x:c>
      <x:c r="G156" s="18" t="n">
        <x:v>0.75</x:v>
      </x:c>
      <x:c r="H156" s="20" t="n">
        <x:v>1</x:v>
      </x:c>
      <x:c r="I156" s="21" t="n">
        <x:f>IF(E156&lt;&gt;"출근",0,ROUND(MAX(0,(G156-F156)*24-H156),2))</x:f>
        <x:v>8</x:v>
      </x:c>
      <x:c r="J156" s="28" t="n">
        <x:f>IF(E156&lt;&gt;"출근",0,MAX(0,ROUND((F156-TIME(9,0,0))*1440,0)))</x:f>
        <x:v>0</x:v>
      </x:c>
      <x:c r="K156" s="21" t="n">
        <x:f>IF(E156&lt;&gt;"출근",0,MAX(0,I156-8))</x:f>
        <x:v>0</x:v>
      </x:c>
      <x:c r="L156" s="14" t="str">
        <x:f>IF(E156="연차","연차",IF(E156="결근","결근",IF(J156&gt;0,"지각","정상")))</x:f>
        <x:v>정상</x:v>
      </x:c>
      <x:c r="M156"/>
    </x:row>
    <x:row r="157">
      <x:c r="A157" s="16" t="n">
        <x:v>46352</x:v>
      </x:c>
      <x:c r="B157" t="str">
        <x:v>E008</x:v>
      </x:c>
      <x:c r="C157" t="str">
        <x:v>강수빈</x:v>
      </x:c>
      <x:c r="D157" t="str">
        <x:v>총무</x:v>
      </x:c>
      <x:c r="E157" t="str">
        <x:v>출근</x:v>
      </x:c>
      <x:c r="F157" s="18" t="n">
        <x:v>0.375</x:v>
      </x:c>
      <x:c r="G157" s="18" t="n">
        <x:v>0.7708333333333334</x:v>
      </x:c>
      <x:c r="H157" s="20" t="n">
        <x:v>1</x:v>
      </x:c>
      <x:c r="I157" s="21" t="n">
        <x:f>IF(E157&lt;&gt;"출근",0,ROUND(MAX(0,(G157-F157)*24-H157),2))</x:f>
        <x:v>8.5</x:v>
      </x:c>
      <x:c r="J157" s="28" t="n">
        <x:f>IF(E157&lt;&gt;"출근",0,MAX(0,ROUND((F157-TIME(9,0,0))*1440,0)))</x:f>
        <x:v>0</x:v>
      </x:c>
      <x:c r="K157" s="21" t="n">
        <x:f>IF(E157&lt;&gt;"출근",0,MAX(0,I157-8))</x:f>
        <x:v>0.5</x:v>
      </x:c>
      <x:c r="L157" s="14" t="str">
        <x:f>IF(E157="연차","연차",IF(E157="결근","결근",IF(J157&gt;0,"지각","정상")))</x:f>
        <x:v>정상</x:v>
      </x:c>
      <x:c r="M157"/>
    </x:row>
    <x:row r="158">
      <x:c r="A158" s="16" t="n">
        <x:v>46353</x:v>
      </x:c>
      <x:c r="B158" t="str">
        <x:v>E001</x:v>
      </x:c>
      <x:c r="C158" t="str">
        <x:v>김민수</x:v>
      </x:c>
      <x:c r="D158" t="str">
        <x:v>영업</x:v>
      </x:c>
      <x:c r="E158" t="str">
        <x:v>출근</x:v>
      </x:c>
      <x:c r="F158" s="18" t="n">
        <x:v>0.37916666666666665</x:v>
      </x:c>
      <x:c r="G158" s="18" t="n">
        <x:v>0.7916666666666666</x:v>
      </x:c>
      <x:c r="H158" s="20" t="n">
        <x:v>1</x:v>
      </x:c>
      <x:c r="I158" s="21" t="n">
        <x:f>IF(E158&lt;&gt;"출근",0,ROUND(MAX(0,(G158-F158)*24-H158),2))</x:f>
        <x:v>8.9</x:v>
      </x:c>
      <x:c r="J158" s="28" t="n">
        <x:f>IF(E158&lt;&gt;"출근",0,MAX(0,ROUND((F158-TIME(9,0,0))*1440,0)))</x:f>
        <x:v>6</x:v>
      </x:c>
      <x:c r="K158" s="21" t="n">
        <x:f>IF(E158&lt;&gt;"출근",0,MAX(0,I158-8))</x:f>
        <x:v>0.9000000000000004</x:v>
      </x:c>
      <x:c r="L158" s="14" t="str">
        <x:f>IF(E158="연차","연차",IF(E158="결근","결근",IF(J158&gt;0,"지각","정상")))</x:f>
        <x:v>지각</x:v>
      </x:c>
      <x:c r="M158"/>
    </x:row>
    <x:row r="159">
      <x:c r="A159" s="16" t="n">
        <x:v>46353</x:v>
      </x:c>
      <x:c r="B159" t="str">
        <x:v>E002</x:v>
      </x:c>
      <x:c r="C159" t="str">
        <x:v>이서연</x:v>
      </x:c>
      <x:c r="D159" t="str">
        <x:v>총무</x:v>
      </x:c>
      <x:c r="E159" t="str">
        <x:v>출근</x:v>
      </x:c>
      <x:c r="F159" s="18" t="n">
        <x:v>0.39444444444444443</x:v>
      </x:c>
      <x:c r="G159" s="18" t="n">
        <x:v>0.75</x:v>
      </x:c>
      <x:c r="H159" s="20" t="n">
        <x:v>1</x:v>
      </x:c>
      <x:c r="I159" s="21" t="n">
        <x:f>IF(E159&lt;&gt;"출근",0,ROUND(MAX(0,(G159-F159)*24-H159),2))</x:f>
        <x:v>7.53</x:v>
      </x:c>
      <x:c r="J159" s="28" t="n">
        <x:f>IF(E159&lt;&gt;"출근",0,MAX(0,ROUND((F159-TIME(9,0,0))*1440,0)))</x:f>
        <x:v>28</x:v>
      </x:c>
      <x:c r="K159" s="21" t="n">
        <x:f>IF(E159&lt;&gt;"출근",0,MAX(0,I159-8))</x:f>
        <x:v>0</x:v>
      </x:c>
      <x:c r="L159" s="14" t="str">
        <x:f>IF(E159="연차","연차",IF(E159="결근","결근",IF(J159&gt;0,"지각","정상")))</x:f>
        <x:v>지각</x:v>
      </x:c>
      <x:c r="M159"/>
    </x:row>
    <x:row r="160">
      <x:c r="A160" s="16" t="n">
        <x:v>46353</x:v>
      </x:c>
      <x:c r="B160" t="str">
        <x:v>E003</x:v>
      </x:c>
      <x:c r="C160" t="str">
        <x:v>박준호</x:v>
      </x:c>
      <x:c r="D160" t="str">
        <x:v>물류</x:v>
      </x:c>
      <x:c r="E160" t="str">
        <x:v>출근</x:v>
      </x:c>
      <x:c r="F160" s="18" t="n">
        <x:v>0.375</x:v>
      </x:c>
      <x:c r="G160" s="18" t="n">
        <x:v>0.75</x:v>
      </x:c>
      <x:c r="H160" s="20" t="n">
        <x:v>1</x:v>
      </x:c>
      <x:c r="I160" s="21" t="n">
        <x:f>IF(E160&lt;&gt;"출근",0,ROUND(MAX(0,(G160-F160)*24-H160),2))</x:f>
        <x:v>8</x:v>
      </x:c>
      <x:c r="J160" s="28" t="n">
        <x:f>IF(E160&lt;&gt;"출근",0,MAX(0,ROUND((F160-TIME(9,0,0))*1440,0)))</x:f>
        <x:v>0</x:v>
      </x:c>
      <x:c r="K160" s="21" t="n">
        <x:f>IF(E160&lt;&gt;"출근",0,MAX(0,I160-8))</x:f>
        <x:v>0</x:v>
      </x:c>
      <x:c r="L160" s="14" t="str">
        <x:f>IF(E160="연차","연차",IF(E160="결근","결근",IF(J160&gt;0,"지각","정상")))</x:f>
        <x:v>정상</x:v>
      </x:c>
      <x:c r="M160"/>
    </x:row>
    <x:row r="161">
      <x:c r="A161" s="16" t="n">
        <x:v>46353</x:v>
      </x:c>
      <x:c r="B161" t="str">
        <x:v>E004</x:v>
      </x:c>
      <x:c r="C161" t="str">
        <x:v>최지은</x:v>
      </x:c>
      <x:c r="D161" t="str">
        <x:v>생산</x:v>
      </x:c>
      <x:c r="E161" t="str">
        <x:v>출근</x:v>
      </x:c>
      <x:c r="F161" s="18" t="n">
        <x:v>0.37916666666666665</x:v>
      </x:c>
      <x:c r="G161" s="18" t="n">
        <x:v>0.7708333333333334</x:v>
      </x:c>
      <x:c r="H161" s="20" t="n">
        <x:v>1</x:v>
      </x:c>
      <x:c r="I161" s="21" t="n">
        <x:f>IF(E161&lt;&gt;"출근",0,ROUND(MAX(0,(G161-F161)*24-H161),2))</x:f>
        <x:v>8.4</x:v>
      </x:c>
      <x:c r="J161" s="28" t="n">
        <x:f>IF(E161&lt;&gt;"출근",0,MAX(0,ROUND((F161-TIME(9,0,0))*1440,0)))</x:f>
        <x:v>6</x:v>
      </x:c>
      <x:c r="K161" s="21" t="n">
        <x:f>IF(E161&lt;&gt;"출근",0,MAX(0,I161-8))</x:f>
        <x:v>0.40000000000000036</x:v>
      </x:c>
      <x:c r="L161" s="14" t="str">
        <x:f>IF(E161="연차","연차",IF(E161="결근","결근",IF(J161&gt;0,"지각","정상")))</x:f>
        <x:v>지각</x:v>
      </x:c>
      <x:c r="M161"/>
    </x:row>
    <x:row r="162">
      <x:c r="A162" s="16" t="n">
        <x:v>46353</x:v>
      </x:c>
      <x:c r="B162" t="str">
        <x:v>E005</x:v>
      </x:c>
      <x:c r="C162" t="str">
        <x:v>정현우</x:v>
      </x:c>
      <x:c r="D162" t="str">
        <x:v>생산</x:v>
      </x:c>
      <x:c r="E162" t="str">
        <x:v>출근</x:v>
      </x:c>
      <x:c r="F162" s="18" t="n">
        <x:v>0.39444444444444443</x:v>
      </x:c>
      <x:c r="G162" s="18" t="n">
        <x:v>0.8125</x:v>
      </x:c>
      <x:c r="H162" s="20" t="n">
        <x:v>1</x:v>
      </x:c>
      <x:c r="I162" s="21" t="n">
        <x:f>IF(E162&lt;&gt;"출근",0,ROUND(MAX(0,(G162-F162)*24-H162),2))</x:f>
        <x:v>9.03</x:v>
      </x:c>
      <x:c r="J162" s="28" t="n">
        <x:f>IF(E162&lt;&gt;"출근",0,MAX(0,ROUND((F162-TIME(9,0,0))*1440,0)))</x:f>
        <x:v>28</x:v>
      </x:c>
      <x:c r="K162" s="21" t="n">
        <x:f>IF(E162&lt;&gt;"출근",0,MAX(0,I162-8))</x:f>
        <x:v>1.0299999999999994</x:v>
      </x:c>
      <x:c r="L162" s="14" t="str">
        <x:f>IF(E162="연차","연차",IF(E162="결근","결근",IF(J162&gt;0,"지각","정상")))</x:f>
        <x:v>지각</x:v>
      </x:c>
      <x:c r="M162"/>
    </x:row>
    <x:row r="163">
      <x:c r="A163" s="16" t="n">
        <x:v>46353</x:v>
      </x:c>
      <x:c r="B163" t="str">
        <x:v>E006</x:v>
      </x:c>
      <x:c r="C163" t="str">
        <x:v>한유진</x:v>
      </x:c>
      <x:c r="D163" t="str">
        <x:v>영업</x:v>
      </x:c>
      <x:c r="E163" t="str">
        <x:v>출근</x:v>
      </x:c>
      <x:c r="F163" s="18" t="n">
        <x:v>0.375</x:v>
      </x:c>
      <x:c r="G163" s="18" t="n">
        <x:v>0.75</x:v>
      </x:c>
      <x:c r="H163" s="20" t="n">
        <x:v>1</x:v>
      </x:c>
      <x:c r="I163" s="21" t="n">
        <x:f>IF(E163&lt;&gt;"출근",0,ROUND(MAX(0,(G163-F163)*24-H163),2))</x:f>
        <x:v>8</x:v>
      </x:c>
      <x:c r="J163" s="28" t="n">
        <x:f>IF(E163&lt;&gt;"출근",0,MAX(0,ROUND((F163-TIME(9,0,0))*1440,0)))</x:f>
        <x:v>0</x:v>
      </x:c>
      <x:c r="K163" s="21" t="n">
        <x:f>IF(E163&lt;&gt;"출근",0,MAX(0,I163-8))</x:f>
        <x:v>0</x:v>
      </x:c>
      <x:c r="L163" s="14" t="str">
        <x:f>IF(E163="연차","연차",IF(E163="결근","결근",IF(J163&gt;0,"지각","정상")))</x:f>
        <x:v>정상</x:v>
      </x:c>
      <x:c r="M163"/>
    </x:row>
    <x:row r="164">
      <x:c r="A164" s="16" t="n">
        <x:v>46353</x:v>
      </x:c>
      <x:c r="B164" t="str">
        <x:v>E007</x:v>
      </x:c>
      <x:c r="C164" t="str">
        <x:v>오지훈</x:v>
      </x:c>
      <x:c r="D164" t="str">
        <x:v>물류</x:v>
      </x:c>
      <x:c r="E164" t="str">
        <x:v>출근</x:v>
      </x:c>
      <x:c r="F164" s="18" t="n">
        <x:v>0.37916666666666665</x:v>
      </x:c>
      <x:c r="G164" s="18" t="n">
        <x:v>0.75</x:v>
      </x:c>
      <x:c r="H164" s="20" t="n">
        <x:v>1</x:v>
      </x:c>
      <x:c r="I164" s="21" t="n">
        <x:f>IF(E164&lt;&gt;"출근",0,ROUND(MAX(0,(G164-F164)*24-H164),2))</x:f>
        <x:v>7.9</x:v>
      </x:c>
      <x:c r="J164" s="28" t="n">
        <x:f>IF(E164&lt;&gt;"출근",0,MAX(0,ROUND((F164-TIME(9,0,0))*1440,0)))</x:f>
        <x:v>6</x:v>
      </x:c>
      <x:c r="K164" s="21" t="n">
        <x:f>IF(E164&lt;&gt;"출근",0,MAX(0,I164-8))</x:f>
        <x:v>0</x:v>
      </x:c>
      <x:c r="L164" s="14" t="str">
        <x:f>IF(E164="연차","연차",IF(E164="결근","결근",IF(J164&gt;0,"지각","정상")))</x:f>
        <x:v>지각</x:v>
      </x:c>
      <x:c r="M164"/>
    </x:row>
    <x:row r="165">
      <x:c r="A165" s="16" t="n">
        <x:v>46353</x:v>
      </x:c>
      <x:c r="B165" t="str">
        <x:v>E008</x:v>
      </x:c>
      <x:c r="C165" t="str">
        <x:v>강수빈</x:v>
      </x:c>
      <x:c r="D165" t="str">
        <x:v>총무</x:v>
      </x:c>
      <x:c r="E165" t="str">
        <x:v>출근</x:v>
      </x:c>
      <x:c r="F165" s="18" t="n">
        <x:v>0.39444444444444443</x:v>
      </x:c>
      <x:c r="G165" s="18" t="n">
        <x:v>0.7916666666666666</x:v>
      </x:c>
      <x:c r="H165" s="20" t="n">
        <x:v>1</x:v>
      </x:c>
      <x:c r="I165" s="21" t="n">
        <x:f>IF(E165&lt;&gt;"출근",0,ROUND(MAX(0,(G165-F165)*24-H165),2))</x:f>
        <x:v>8.53</x:v>
      </x:c>
      <x:c r="J165" s="28" t="n">
        <x:f>IF(E165&lt;&gt;"출근",0,MAX(0,ROUND((F165-TIME(9,0,0))*1440,0)))</x:f>
        <x:v>28</x:v>
      </x:c>
      <x:c r="K165" s="21" t="n">
        <x:f>IF(E165&lt;&gt;"출근",0,MAX(0,I165-8))</x:f>
        <x:v>0.5299999999999994</x:v>
      </x:c>
      <x:c r="L165" s="14" t="str">
        <x:f>IF(E165="연차","연차",IF(E165="결근","결근",IF(J165&gt;0,"지각","정상")))</x:f>
        <x:v>지각</x:v>
      </x:c>
      <x:c r="M165"/>
    </x:row>
    <x:row r="166">
      <x:c r="A166" s="16" t="n">
        <x:v>46356</x:v>
      </x:c>
      <x:c r="B166" t="str">
        <x:v>E001</x:v>
      </x:c>
      <x:c r="C166" t="str">
        <x:v>김민수</x:v>
      </x:c>
      <x:c r="D166" t="str">
        <x:v>영업</x:v>
      </x:c>
      <x:c r="E166" t="str">
        <x:v>출근</x:v>
      </x:c>
      <x:c r="F166" s="18" t="n">
        <x:v>0.375</x:v>
      </x:c>
      <x:c r="G166" s="18" t="n">
        <x:v>0.8125</x:v>
      </x:c>
      <x:c r="H166" s="20" t="n">
        <x:v>1</x:v>
      </x:c>
      <x:c r="I166" s="21" t="n">
        <x:f>IF(E166&lt;&gt;"출근",0,ROUND(MAX(0,(G166-F166)*24-H166),2))</x:f>
        <x:v>9.5</x:v>
      </x:c>
      <x:c r="J166" s="28" t="n">
        <x:f>IF(E166&lt;&gt;"출근",0,MAX(0,ROUND((F166-TIME(9,0,0))*1440,0)))</x:f>
        <x:v>0</x:v>
      </x:c>
      <x:c r="K166" s="21" t="n">
        <x:f>IF(E166&lt;&gt;"출근",0,MAX(0,I166-8))</x:f>
        <x:v>1.5</x:v>
      </x:c>
      <x:c r="L166" s="14" t="str">
        <x:f>IF(E166="연차","연차",IF(E166="결근","결근",IF(J166&gt;0,"지각","정상")))</x:f>
        <x:v>정상</x:v>
      </x:c>
      <x:c r="M166"/>
    </x:row>
    <x:row r="167">
      <x:c r="A167" s="16" t="n">
        <x:v>46356</x:v>
      </x:c>
      <x:c r="B167" t="str">
        <x:v>E002</x:v>
      </x:c>
      <x:c r="C167" t="str">
        <x:v>이서연</x:v>
      </x:c>
      <x:c r="D167" t="str">
        <x:v>총무</x:v>
      </x:c>
      <x:c r="E167" t="str">
        <x:v>출근</x:v>
      </x:c>
      <x:c r="F167" s="18" t="n">
        <x:v>0.375</x:v>
      </x:c>
      <x:c r="G167" s="18" t="n">
        <x:v>0.75</x:v>
      </x:c>
      <x:c r="H167" s="20" t="n">
        <x:v>1</x:v>
      </x:c>
      <x:c r="I167" s="21" t="n">
        <x:f>IF(E167&lt;&gt;"출근",0,ROUND(MAX(0,(G167-F167)*24-H167),2))</x:f>
        <x:v>8</x:v>
      </x:c>
      <x:c r="J167" s="28" t="n">
        <x:f>IF(E167&lt;&gt;"출근",0,MAX(0,ROUND((F167-TIME(9,0,0))*1440,0)))</x:f>
        <x:v>0</x:v>
      </x:c>
      <x:c r="K167" s="21" t="n">
        <x:f>IF(E167&lt;&gt;"출근",0,MAX(0,I167-8))</x:f>
        <x:v>0</x:v>
      </x:c>
      <x:c r="L167" s="14" t="str">
        <x:f>IF(E167="연차","연차",IF(E167="결근","결근",IF(J167&gt;0,"지각","정상")))</x:f>
        <x:v>정상</x:v>
      </x:c>
      <x:c r="M167"/>
    </x:row>
    <x:row r="168">
      <x:c r="A168" s="16" t="n">
        <x:v>46356</x:v>
      </x:c>
      <x:c r="B168" t="str">
        <x:v>E003</x:v>
      </x:c>
      <x:c r="C168" t="str">
        <x:v>박준호</x:v>
      </x:c>
      <x:c r="D168" t="str">
        <x:v>물류</x:v>
      </x:c>
      <x:c r="E168" t="str">
        <x:v>출근</x:v>
      </x:c>
      <x:c r="F168" s="18" t="n">
        <x:v>0.38819444444444445</x:v>
      </x:c>
      <x:c r="G168" s="18" t="n">
        <x:v>0.75</x:v>
      </x:c>
      <x:c r="H168" s="20" t="n">
        <x:v>1</x:v>
      </x:c>
      <x:c r="I168" s="21" t="n">
        <x:f>IF(E168&lt;&gt;"출근",0,ROUND(MAX(0,(G168-F168)*24-H168),2))</x:f>
        <x:v>7.68</x:v>
      </x:c>
      <x:c r="J168" s="28" t="n">
        <x:f>IF(E168&lt;&gt;"출근",0,MAX(0,ROUND((F168-TIME(9,0,0))*1440,0)))</x:f>
        <x:v>19</x:v>
      </x:c>
      <x:c r="K168" s="21" t="n">
        <x:f>IF(E168&lt;&gt;"출근",0,MAX(0,I168-8))</x:f>
        <x:v>0</x:v>
      </x:c>
      <x:c r="L168" s="14" t="str">
        <x:f>IF(E168="연차","연차",IF(E168="결근","결근",IF(J168&gt;0,"지각","정상")))</x:f>
        <x:v>지각</x:v>
      </x:c>
      <x:c r="M168"/>
    </x:row>
    <x:row r="169">
      <x:c r="A169" s="16" t="n">
        <x:v>46356</x:v>
      </x:c>
      <x:c r="B169" t="str">
        <x:v>E004</x:v>
      </x:c>
      <x:c r="C169" t="str">
        <x:v>최지은</x:v>
      </x:c>
      <x:c r="D169" t="str">
        <x:v>생산</x:v>
      </x:c>
      <x:c r="E169" t="str">
        <x:v>출근</x:v>
      </x:c>
      <x:c r="F169" s="18" t="n">
        <x:v>0.375</x:v>
      </x:c>
      <x:c r="G169" s="18" t="n">
        <x:v>0.7916666666666666</x:v>
      </x:c>
      <x:c r="H169" s="20" t="n">
        <x:v>1</x:v>
      </x:c>
      <x:c r="I169" s="21" t="n">
        <x:f>IF(E169&lt;&gt;"출근",0,ROUND(MAX(0,(G169-F169)*24-H169),2))</x:f>
        <x:v>9</x:v>
      </x:c>
      <x:c r="J169" s="28" t="n">
        <x:f>IF(E169&lt;&gt;"출근",0,MAX(0,ROUND((F169-TIME(9,0,0))*1440,0)))</x:f>
        <x:v>0</x:v>
      </x:c>
      <x:c r="K169" s="21" t="n">
        <x:f>IF(E169&lt;&gt;"출근",0,MAX(0,I169-8))</x:f>
        <x:v>1</x:v>
      </x:c>
      <x:c r="L169" s="14" t="str">
        <x:f>IF(E169="연차","연차",IF(E169="결근","결근",IF(J169&gt;0,"지각","정상")))</x:f>
        <x:v>정상</x:v>
      </x:c>
      <x:c r="M169"/>
    </x:row>
    <x:row r="170">
      <x:c r="A170" s="16" t="n">
        <x:v>46356</x:v>
      </x:c>
      <x:c r="B170" t="str">
        <x:v>E005</x:v>
      </x:c>
      <x:c r="C170" t="str">
        <x:v>정현우</x:v>
      </x:c>
      <x:c r="D170" t="str">
        <x:v>생산</x:v>
      </x:c>
      <x:c r="E170" t="str">
        <x:v>출근</x:v>
      </x:c>
      <x:c r="F170" s="18" t="n">
        <x:v>0.375</x:v>
      </x:c>
      <x:c r="G170" s="18" t="n">
        <x:v>0.75</x:v>
      </x:c>
      <x:c r="H170" s="20" t="n">
        <x:v>1</x:v>
      </x:c>
      <x:c r="I170" s="21" t="n">
        <x:f>IF(E170&lt;&gt;"출근",0,ROUND(MAX(0,(G170-F170)*24-H170),2))</x:f>
        <x:v>8</x:v>
      </x:c>
      <x:c r="J170" s="28" t="n">
        <x:f>IF(E170&lt;&gt;"출근",0,MAX(0,ROUND((F170-TIME(9,0,0))*1440,0)))</x:f>
        <x:v>0</x:v>
      </x:c>
      <x:c r="K170" s="21" t="n">
        <x:f>IF(E170&lt;&gt;"출근",0,MAX(0,I170-8))</x:f>
        <x:v>0</x:v>
      </x:c>
      <x:c r="L170" s="14" t="str">
        <x:f>IF(E170="연차","연차",IF(E170="결근","결근",IF(J170&gt;0,"지각","정상")))</x:f>
        <x:v>정상</x:v>
      </x:c>
      <x:c r="M170"/>
    </x:row>
    <x:row r="171">
      <x:c r="A171" s="16" t="n">
        <x:v>46356</x:v>
      </x:c>
      <x:c r="B171" t="str">
        <x:v>E006</x:v>
      </x:c>
      <x:c r="C171" t="str">
        <x:v>한유진</x:v>
      </x:c>
      <x:c r="D171" t="str">
        <x:v>영업</x:v>
      </x:c>
      <x:c r="E171" t="str">
        <x:v>출근</x:v>
      </x:c>
      <x:c r="F171" s="18" t="n">
        <x:v>0.38819444444444445</x:v>
      </x:c>
      <x:c r="G171" s="18" t="n">
        <x:v>0.75</x:v>
      </x:c>
      <x:c r="H171" s="20" t="n">
        <x:v>1</x:v>
      </x:c>
      <x:c r="I171" s="21" t="n">
        <x:f>IF(E171&lt;&gt;"출근",0,ROUND(MAX(0,(G171-F171)*24-H171),2))</x:f>
        <x:v>7.68</x:v>
      </x:c>
      <x:c r="J171" s="28" t="n">
        <x:f>IF(E171&lt;&gt;"출근",0,MAX(0,ROUND((F171-TIME(9,0,0))*1440,0)))</x:f>
        <x:v>19</x:v>
      </x:c>
      <x:c r="K171" s="21" t="n">
        <x:f>IF(E171&lt;&gt;"출근",0,MAX(0,I171-8))</x:f>
        <x:v>0</x:v>
      </x:c>
      <x:c r="L171" s="14" t="str">
        <x:f>IF(E171="연차","연차",IF(E171="결근","결근",IF(J171&gt;0,"지각","정상")))</x:f>
        <x:v>지각</x:v>
      </x:c>
      <x:c r="M171"/>
    </x:row>
    <x:row r="172">
      <x:c r="A172" s="16" t="n">
        <x:v>46356</x:v>
      </x:c>
      <x:c r="B172" t="str">
        <x:v>E007</x:v>
      </x:c>
      <x:c r="C172" t="str">
        <x:v>오지훈</x:v>
      </x:c>
      <x:c r="D172" t="str">
        <x:v>물류</x:v>
      </x:c>
      <x:c r="E172" t="str">
        <x:v>출근</x:v>
      </x:c>
      <x:c r="F172" s="18" t="n">
        <x:v>0.375</x:v>
      </x:c>
      <x:c r="G172" s="18" t="n">
        <x:v>0.7708333333333334</x:v>
      </x:c>
      <x:c r="H172" s="20" t="n">
        <x:v>1</x:v>
      </x:c>
      <x:c r="I172" s="21" t="n">
        <x:f>IF(E172&lt;&gt;"출근",0,ROUND(MAX(0,(G172-F172)*24-H172),2))</x:f>
        <x:v>8.5</x:v>
      </x:c>
      <x:c r="J172" s="28" t="n">
        <x:f>IF(E172&lt;&gt;"출근",0,MAX(0,ROUND((F172-TIME(9,0,0))*1440,0)))</x:f>
        <x:v>0</x:v>
      </x:c>
      <x:c r="K172" s="21" t="n">
        <x:f>IF(E172&lt;&gt;"출근",0,MAX(0,I172-8))</x:f>
        <x:v>0.5</x:v>
      </x:c>
      <x:c r="L172" s="14" t="str">
        <x:f>IF(E172="연차","연차",IF(E172="결근","결근",IF(J172&gt;0,"지각","정상")))</x:f>
        <x:v>정상</x:v>
      </x:c>
      <x:c r="M172"/>
    </x:row>
    <x:row r="173">
      <x:c r="A173" s="16" t="n">
        <x:v>46356</x:v>
      </x:c>
      <x:c r="B173" t="str">
        <x:v>E008</x:v>
      </x:c>
      <x:c r="C173" t="str">
        <x:v>강수빈</x:v>
      </x:c>
      <x:c r="D173" t="str">
        <x:v>총무</x:v>
      </x:c>
      <x:c r="E173" t="str">
        <x:v>출근</x:v>
      </x:c>
      <x:c r="F173" s="18" t="n">
        <x:v>0.375</x:v>
      </x:c>
      <x:c r="G173" s="18" t="n">
        <x:v>0.8125</x:v>
      </x:c>
      <x:c r="H173" s="20" t="n">
        <x:v>1</x:v>
      </x:c>
      <x:c r="I173" s="21" t="n">
        <x:f>IF(E173&lt;&gt;"출근",0,ROUND(MAX(0,(G173-F173)*24-H173),2))</x:f>
        <x:v>9.5</x:v>
      </x:c>
      <x:c r="J173" s="28" t="n">
        <x:f>IF(E173&lt;&gt;"출근",0,MAX(0,ROUND((F173-TIME(9,0,0))*1440,0)))</x:f>
        <x:v>0</x:v>
      </x:c>
      <x:c r="K173" s="21" t="n">
        <x:f>IF(E173&lt;&gt;"출근",0,MAX(0,I173-8))</x:f>
        <x:v>1.5</x:v>
      </x:c>
      <x:c r="L173" s="14" t="str">
        <x:f>IF(E173="연차","연차",IF(E173="결근","결근",IF(J173&gt;0,"지각","정상")))</x:f>
        <x:v>정상</x:v>
      </x:c>
      <x:c r="M173"/>
    </x:row>
    <x:row r="175" ht="26" customHeight="1">
      <x:c r="A175" s="25" t="str">
        <x:v>전체 집계</x:v>
      </x:c>
      <x:c r="B175" s="25"/>
      <x:c r="C175" s="25"/>
      <x:c r="D175" s="25"/>
      <x:c r="E175" s="25"/>
      <x:c r="F175" s="25"/>
      <x:c r="G175" s="25"/>
      <x:c r="H175" s="25"/>
      <x:c r="I175" s="25" t="n">
        <x:f>SUM(I6:I173)</x:f>
        <x:v>1356.0099999999995</x:v>
      </x:c>
      <x:c r="J175" s="25" t="n">
        <x:f>SUM(J6:J173)</x:f>
        <x:v>1192</x:v>
      </x:c>
      <x:c r="K175" s="25" t="n">
        <x:f>SUM(K6:K173)</x:f>
        <x:v>64.41999999999999</x:v>
      </x:c>
      <x:c r="L175" s="25"/>
      <x:c r="M175" s="25"/>
    </x:row>
  </x:sheetData>
  <x:mergeCells>
    <x:mergeCell ref="A1:M2"/>
    <x:mergeCell ref="A3:M3"/>
  </x:mergeCells>
  <x:conditionalFormatting sqref="L6:L173">
    <x:cfRule type="expression" dxfId="2" priority="1">
      <x:formula>OR(L6="지각",L6="결근")</x:formula>
    </x:cfRule>
  </x:conditionalFormatting>
  <x:conditionalFormatting sqref="E6:E173">
    <x:cfRule type="expression" dxfId="3" priority="2">
      <x:formula>E6="연차"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5f8c191b454b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5" customHeight="1">
      <x:c r="A1" s="3" t="str">
        <x:v>2026년 11월 | 직원별 근태 현황</x:v>
      </x:c>
      <x:c r="B1" s="3"/>
      <x:c r="C1" s="3"/>
      <x:c r="D1" s="3"/>
      <x:c r="E1" s="3"/>
      <x:c r="F1" s="3"/>
      <x:c r="G1" s="3"/>
      <x:c r="H1" s="3"/>
    </x:row>
    <x:row r="2" ht="25" customHeight="1">
      <x:c r="A2" s="3"/>
      <x:c r="B2" s="3"/>
      <x:c r="C2" s="3"/>
      <x:c r="D2" s="3"/>
      <x:c r="E2" s="3"/>
      <x:c r="F2" s="3"/>
      <x:c r="G2" s="3"/>
      <x:c r="H2" s="3"/>
    </x:row>
    <x:row r="3" ht="26" customHeight="1">
      <x:c r="A3" s="7" t="str">
        <x:v>정답 시트의 근태자료를 COUNTIFS·SUMIF 함수로 자동 집계합니다.</x:v>
      </x:c>
      <x:c r="B3" s="7"/>
      <x:c r="C3" s="7"/>
      <x:c r="D3" s="7"/>
      <x:c r="E3" s="7"/>
      <x:c r="F3" s="7"/>
      <x:c r="G3" s="7"/>
      <x:c r="H3" s="7"/>
    </x:row>
    <x:row r="5" ht="31" customHeight="1">
      <x:c r="A5" s="11" t="str">
        <x:v>직원번호</x:v>
      </x:c>
      <x:c r="B5" s="11" t="str">
        <x:v>직원명</x:v>
      </x:c>
      <x:c r="C5" s="11" t="str">
        <x:v>부서</x:v>
      </x:c>
      <x:c r="D5" s="11" t="str">
        <x:v>출근일수</x:v>
      </x:c>
      <x:c r="E5" s="11" t="str">
        <x:v>지각횟수</x:v>
      </x:c>
      <x:c r="F5" s="11" t="str">
        <x:v>연차일수</x:v>
      </x:c>
      <x:c r="G5" s="11" t="str">
        <x:v>결근일수</x:v>
      </x:c>
      <x:c r="H5" s="11" t="str">
        <x:v>총 근무시간(h)</x:v>
      </x:c>
    </x:row>
    <x:row r="6">
      <x:c r="A6" t="str">
        <x:v>E001</x:v>
      </x:c>
      <x:c r="B6" t="str">
        <x:v>김민수</x:v>
      </x:c>
      <x:c r="C6" t="str">
        <x:v>영업</x:v>
      </x:c>
      <x:c r="D6" t="n">
        <x:f>COUNTIFS('02_완성예시'!$B$6:$B$173,A6,'02_완성예시'!$E$6:$E$173,"출근")</x:f>
        <x:v>20</x:v>
      </x:c>
      <x:c r="E6" t="n">
        <x:f>COUNTIFS('02_완성예시'!$B$6:$B$173,A6,'02_완성예시'!$L$6:$L$173,"지각")</x:f>
        <x:v>9</x:v>
      </x:c>
      <x:c r="F6" t="n">
        <x:f>COUNTIFS('02_완성예시'!$B$6:$B$173,A6,'02_완성예시'!$E$6:$E$173,"연차")</x:f>
        <x:v>1</x:v>
      </x:c>
      <x:c r="G6" t="n">
        <x:f>COUNTIFS('02_완성예시'!$B$6:$B$173,A6,'02_완성예시'!$E$6:$E$173,"결근")</x:f>
        <x:v>0</x:v>
      </x:c>
      <x:c r="H6" s="34" t="n">
        <x:f>SUMIF('02_완성예시'!$B$6:$B$173,A6,'02_완성예시'!$I$6:$I$173)</x:f>
        <x:v>166.72</x:v>
      </x:c>
    </x:row>
    <x:row r="7">
      <x:c r="A7" t="str">
        <x:v>E002</x:v>
      </x:c>
      <x:c r="B7" t="str">
        <x:v>이서연</x:v>
      </x:c>
      <x:c r="C7" t="str">
        <x:v>총무</x:v>
      </x:c>
      <x:c r="D7" t="n">
        <x:f>COUNTIFS('02_완성예시'!$B$6:$B$173,A7,'02_완성예시'!$E$6:$E$173,"출근")</x:f>
        <x:v>21</x:v>
      </x:c>
      <x:c r="E7" t="n">
        <x:f>COUNTIFS('02_완성예시'!$B$6:$B$173,A7,'02_완성예시'!$L$6:$L$173,"지각")</x:f>
        <x:v>9</x:v>
      </x:c>
      <x:c r="F7" t="n">
        <x:f>COUNTIFS('02_완성예시'!$B$6:$B$173,A7,'02_완성예시'!$E$6:$E$173,"연차")</x:f>
        <x:v>0</x:v>
      </x:c>
      <x:c r="G7" t="n">
        <x:f>COUNTIFS('02_완성예시'!$B$6:$B$173,A7,'02_완성예시'!$E$6:$E$173,"결근")</x:f>
        <x:v>0</x:v>
      </x:c>
      <x:c r="H7" s="34" t="n">
        <x:f>SUMIF('02_완성예시'!$B$6:$B$173,A7,'02_완성예시'!$I$6:$I$173)</x:f>
        <x:v>174.35000000000002</x:v>
      </x:c>
    </x:row>
    <x:row r="8">
      <x:c r="A8" t="str">
        <x:v>E003</x:v>
      </x:c>
      <x:c r="B8" t="str">
        <x:v>박준호</x:v>
      </x:c>
      <x:c r="C8" t="str">
        <x:v>물류</x:v>
      </x:c>
      <x:c r="D8" t="n">
        <x:f>COUNTIFS('02_완성예시'!$B$6:$B$173,A8,'02_완성예시'!$E$6:$E$173,"출근")</x:f>
        <x:v>20</x:v>
      </x:c>
      <x:c r="E8" t="n">
        <x:f>COUNTIFS('02_완성예시'!$B$6:$B$173,A8,'02_완성예시'!$L$6:$L$173,"지각")</x:f>
        <x:v>10</x:v>
      </x:c>
      <x:c r="F8" t="n">
        <x:f>COUNTIFS('02_완성예시'!$B$6:$B$173,A8,'02_완성예시'!$E$6:$E$173,"연차")</x:f>
        <x:v>1</x:v>
      </x:c>
      <x:c r="G8" t="n">
        <x:f>COUNTIFS('02_완성예시'!$B$6:$B$173,A8,'02_완성예시'!$E$6:$E$173,"결근")</x:f>
        <x:v>0</x:v>
      </x:c>
      <x:c r="H8" s="34" t="n">
        <x:f>SUMIF('02_완성예시'!$B$6:$B$173,A8,'02_완성예시'!$I$6:$I$173)</x:f>
        <x:v>166.3</x:v>
      </x:c>
    </x:row>
    <x:row r="9">
      <x:c r="A9" t="str">
        <x:v>E004</x:v>
      </x:c>
      <x:c r="B9" t="str">
        <x:v>최지은</x:v>
      </x:c>
      <x:c r="C9" t="str">
        <x:v>생산</x:v>
      </x:c>
      <x:c r="D9" t="n">
        <x:f>COUNTIFS('02_완성예시'!$B$6:$B$173,A9,'02_완성예시'!$E$6:$E$173,"출근")</x:f>
        <x:v>21</x:v>
      </x:c>
      <x:c r="E9" t="n">
        <x:f>COUNTIFS('02_완성예시'!$B$6:$B$173,A9,'02_완성예시'!$L$6:$L$173,"지각")</x:f>
        <x:v>9</x:v>
      </x:c>
      <x:c r="F9" t="n">
        <x:f>COUNTIFS('02_완성예시'!$B$6:$B$173,A9,'02_완성예시'!$E$6:$E$173,"연차")</x:f>
        <x:v>0</x:v>
      </x:c>
      <x:c r="G9" t="n">
        <x:f>COUNTIFS('02_완성예시'!$B$6:$B$173,A9,'02_완성예시'!$E$6:$E$173,"결근")</x:f>
        <x:v>0</x:v>
      </x:c>
      <x:c r="H9" s="34" t="n">
        <x:f>SUMIF('02_완성예시'!$B$6:$B$173,A9,'02_완성예시'!$I$6:$I$173)</x:f>
        <x:v>174.72</x:v>
      </x:c>
    </x:row>
    <x:row r="10">
      <x:c r="A10" t="str">
        <x:v>E005</x:v>
      </x:c>
      <x:c r="B10" t="str">
        <x:v>정현우</x:v>
      </x:c>
      <x:c r="C10" t="str">
        <x:v>생산</x:v>
      </x:c>
      <x:c r="D10" t="n">
        <x:f>COUNTIFS('02_완성예시'!$B$6:$B$173,A10,'02_완성예시'!$E$6:$E$173,"출근")</x:f>
        <x:v>19</x:v>
      </x:c>
      <x:c r="E10" t="n">
        <x:f>COUNTIFS('02_완성예시'!$B$6:$B$173,A10,'02_완성예시'!$L$6:$L$173,"지각")</x:f>
        <x:v>8</x:v>
      </x:c>
      <x:c r="F10" t="n">
        <x:f>COUNTIFS('02_완성예시'!$B$6:$B$173,A10,'02_완성예시'!$E$6:$E$173,"연차")</x:f>
        <x:v>1</x:v>
      </x:c>
      <x:c r="G10" t="n">
        <x:f>COUNTIFS('02_완성예시'!$B$6:$B$173,A10,'02_완성예시'!$E$6:$E$173,"결근")</x:f>
        <x:v>1</x:v>
      </x:c>
      <x:c r="H10" s="34" t="n">
        <x:f>SUMIF('02_완성예시'!$B$6:$B$173,A10,'02_완성예시'!$I$6:$I$173)</x:f>
        <x:v>158.55</x:v>
      </x:c>
    </x:row>
    <x:row r="11">
      <x:c r="A11" t="str">
        <x:v>E006</x:v>
      </x:c>
      <x:c r="B11" t="str">
        <x:v>한유진</x:v>
      </x:c>
      <x:c r="C11" t="str">
        <x:v>영업</x:v>
      </x:c>
      <x:c r="D11" t="n">
        <x:f>COUNTIFS('02_완성예시'!$B$6:$B$173,A11,'02_완성예시'!$E$6:$E$173,"출근")</x:f>
        <x:v>21</x:v>
      </x:c>
      <x:c r="E11" t="n">
        <x:f>COUNTIFS('02_완성예시'!$B$6:$B$173,A11,'02_완성예시'!$L$6:$L$173,"지각")</x:f>
        <x:v>10</x:v>
      </x:c>
      <x:c r="F11" t="n">
        <x:f>COUNTIFS('02_완성예시'!$B$6:$B$173,A11,'02_완성예시'!$E$6:$E$173,"연차")</x:f>
        <x:v>0</x:v>
      </x:c>
      <x:c r="G11" t="n">
        <x:f>COUNTIFS('02_완성예시'!$B$6:$B$173,A11,'02_완성예시'!$E$6:$E$173,"결근")</x:f>
        <x:v>0</x:v>
      </x:c>
      <x:c r="H11" s="34" t="n">
        <x:f>SUMIF('02_완성예시'!$B$6:$B$173,A11,'02_완성예시'!$I$6:$I$173)</x:f>
        <x:v>174.30000000000004</x:v>
      </x:c>
    </x:row>
    <x:row r="12">
      <x:c r="A12" t="str">
        <x:v>E007</x:v>
      </x:c>
      <x:c r="B12" t="str">
        <x:v>오지훈</x:v>
      </x:c>
      <x:c r="C12" t="str">
        <x:v>물류</x:v>
      </x:c>
      <x:c r="D12" t="n">
        <x:f>COUNTIFS('02_완성예시'!$B$6:$B$173,A12,'02_완성예시'!$E$6:$E$173,"출근")</x:f>
        <x:v>20</x:v>
      </x:c>
      <x:c r="E12" t="n">
        <x:f>COUNTIFS('02_완성예시'!$B$6:$B$173,A12,'02_완성예시'!$L$6:$L$173,"지각")</x:f>
        <x:v>9</x:v>
      </x:c>
      <x:c r="F12" t="n">
        <x:f>COUNTIFS('02_완성예시'!$B$6:$B$173,A12,'02_완성예시'!$E$6:$E$173,"연차")</x:f>
        <x:v>1</x:v>
      </x:c>
      <x:c r="G12" t="n">
        <x:f>COUNTIFS('02_완성예시'!$B$6:$B$173,A12,'02_완성예시'!$E$6:$E$173,"결근")</x:f>
        <x:v>0</x:v>
      </x:c>
      <x:c r="H12" s="34" t="n">
        <x:f>SUMIF('02_완성예시'!$B$6:$B$173,A12,'02_완성예시'!$I$6:$I$173)</x:f>
        <x:v>166.72</x:v>
      </x:c>
    </x:row>
    <x:row r="13">
      <x:c r="A13" t="str">
        <x:v>E008</x:v>
      </x:c>
      <x:c r="B13" t="str">
        <x:v>강수빈</x:v>
      </x:c>
      <x:c r="C13" t="str">
        <x:v>총무</x:v>
      </x:c>
      <x:c r="D13" t="n">
        <x:f>COUNTIFS('02_완성예시'!$B$6:$B$173,A13,'02_완성예시'!$E$6:$E$173,"출근")</x:f>
        <x:v>21</x:v>
      </x:c>
      <x:c r="E13" t="n">
        <x:f>COUNTIFS('02_완성예시'!$B$6:$B$173,A13,'02_완성예시'!$L$6:$L$173,"지각")</x:f>
        <x:v>9</x:v>
      </x:c>
      <x:c r="F13" t="n">
        <x:f>COUNTIFS('02_완성예시'!$B$6:$B$173,A13,'02_완성예시'!$E$6:$E$173,"연차")</x:f>
        <x:v>0</x:v>
      </x:c>
      <x:c r="G13" t="n">
        <x:f>COUNTIFS('02_완성예시'!$B$6:$B$173,A13,'02_완성예시'!$E$6:$E$173,"결근")</x:f>
        <x:v>0</x:v>
      </x:c>
      <x:c r="H13" s="34" t="n">
        <x:f>SUMIF('02_완성예시'!$B$6:$B$173,A13,'02_완성예시'!$I$6:$I$173)</x:f>
        <x:v>174.35000000000002</x:v>
      </x:c>
    </x:row>
    <x:row r="14">
      <x:c r="H14" s="34"/>
    </x:row>
    <x:row r="15">
      <x:c r="A15" s="31" t="str">
        <x:v>합계</x:v>
      </x:c>
      <x:c r="B15" s="31"/>
      <x:c r="C15" s="31"/>
      <x:c r="D15" s="31" t="n">
        <x:f>SUM(D6:D13)</x:f>
        <x:v>163</x:v>
      </x:c>
      <x:c r="E15" s="31" t="n">
        <x:f>SUM(E6:E13)</x:f>
        <x:v>73</x:v>
      </x:c>
      <x:c r="F15" s="31" t="n">
        <x:f>SUM(F6:F13)</x:f>
        <x:v>4</x:v>
      </x:c>
      <x:c r="G15" s="31" t="n">
        <x:f>SUM(G6:G13)</x:f>
        <x:v>1</x:v>
      </x:c>
      <x:c r="H15" s="35" t="n">
        <x:f>SUM(H6:H13)</x:f>
        <x:v>1356.0100000000002</x:v>
      </x:c>
    </x:row>
  </x:sheetData>
  <x:mergeCells>
    <x:mergeCell ref="A1:H2"/>
    <x:mergeCell ref="A3:H3"/>
  </x:mergeCells>
  <x:pageMargins left="0.7" right="0.7" top="0.75" bottom="0.75" header="0.3" footer="0.3"/>
  <x:drawing xmlns:r="http://schemas.openxmlformats.org/officeDocument/2006/relationships" r:id="R27806774f15542e4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 ht="26" customHeight="1">
      <x:c r="A1" s="3" t="str">
        <x:v>근태관리 엑셀 실습 안내</x:v>
      </x:c>
      <x:c r="B1" s="3"/>
      <x:c r="C1" s="3"/>
      <x:c r="D1" s="3"/>
    </x:row>
    <x:row r="2" ht="26" customHeight="1">
      <x:c r="A2" s="3"/>
      <x:c r="B2" s="3"/>
      <x:c r="C2" s="3"/>
      <x:c r="D2" s="3"/>
    </x:row>
    <x:row r="4" ht="45" customHeight="1">
      <x:c r="A4" s="38" t="str">
        <x:v>활용 시나리오</x:v>
      </x:c>
      <x:c r="B4" s="40" t="str">
        <x:v>사무관리 담당자가 직원 8명의 한 달 출퇴근 기록을 확인하고 지각·연차·결근 현황을 집계한다.</x:v>
      </x:c>
    </x:row>
    <x:row r="5" ht="45" customHeight="1">
      <x:c r="A5" s="38" t="str">
        <x:v>1. 실근무시간 I6</x:v>
      </x:c>
      <x:c r="B5" s="40" t="n">
        <x:f>IF(E6&lt;&gt;"출근",0,ROUND(MAX(0,(G6-F6)*24-H6),2))</x:f>
        <x:v>0</x:v>
      </x:c>
    </x:row>
    <x:row r="6" ht="45" customHeight="1">
      <x:c r="A6" s="38" t="str">
        <x:v>2. 지각분 J6</x:v>
      </x:c>
      <x:c r="B6" s="40" t="n">
        <x:f>IF(E6&lt;&gt;"출근",0,MAX(0,ROUND((F6-TIME(9,0,0))*1440,0)))</x:f>
        <x:v>0</x:v>
      </x:c>
    </x:row>
    <x:row r="7" ht="45" customHeight="1">
      <x:c r="A7" s="38" t="str">
        <x:v>3. 연장근무 K6</x:v>
      </x:c>
      <x:c r="B7" s="40" t="n">
        <x:f>IF(E6&lt;&gt;"출근",0,MAX(0,I6-8))</x:f>
        <x:v>0</x:v>
      </x:c>
    </x:row>
    <x:row r="8" ht="45" customHeight="1">
      <x:c r="A8" s="38" t="str">
        <x:v>4. 근무판정 L6</x:v>
      </x:c>
      <x:c r="B8" s="40" t="str">
        <x:f>IF(E6="연차","연차",IF(E6="결근","결근",IF(J6&gt;0,"지각","정상")))</x:f>
        <x:v>정상</x:v>
      </x:c>
    </x:row>
    <x:row r="9" ht="45" customHeight="1">
      <x:c r="A9" s="38" t="str">
        <x:v>5. 수식 자동 채우기</x:v>
      </x:c>
      <x:c r="B9" s="40" t="str">
        <x:v>I6:L6에 수식을 입력하고 173행까지 복사한다.</x:v>
      </x:c>
    </x:row>
    <x:row r="10" ht="45" customHeight="1">
      <x:c r="A10" s="38" t="str">
        <x:v>6. 자동필터</x:v>
      </x:c>
      <x:c r="B10" s="40" t="str">
        <x:v>부서별·직원별 조회 / 판정=지각인 날짜만 추출</x:v>
      </x:c>
    </x:row>
    <x:row r="11" ht="45" customHeight="1">
      <x:c r="A11" s="38" t="str">
        <x:v>7. 조건부서식</x:v>
      </x:c>
      <x:c r="B11" s="40" t="str">
        <x:v>지각·결근을 빨간색으로, 연차는 노란색으로 표시한다.</x:v>
      </x:c>
    </x:row>
    <x:row r="12" ht="45" customHeight="1">
      <x:c r="A12" s="38" t="str">
        <x:v>8. 집계 함수</x:v>
      </x:c>
      <x:c r="B12" s="40" t="str">
        <x:v>COUNTIFS로 직원별 출근·지각·연차·결근 횟수 계산, SUMIF로 근무시간 합계</x:v>
      </x:c>
    </x:row>
    <x:row r="13" ht="45" customHeight="1">
      <x:c r="A13" s="38" t="str">
        <x:v>9. 차트</x:v>
      </x:c>
      <x:c r="B13" s="40" t="str">
        <x:v>직원별 출근일수 막대차트 작성</x:v>
      </x:c>
    </x:row>
    <x:row r="14" ht="45" customHeight="1">
      <x:c r="A14" s="38" t="str">
        <x:v>주의사항</x:v>
      </x:c>
      <x:c r="B14" s="40" t="str">
        <x:v>가상 근태자료로, 휴일·법정수당·급여·유급휴가 산정은 포함하지 않는다.</x:v>
      </x:c>
    </x:row>
    <x:row r="15" ht="45" customHeight="1">
      <x:c r="A15" s="38" t="str">
        <x:v>계산 가정</x:v>
      </x:c>
      <x:c r="B15" s="40" t="str">
        <x:v>근무시간은 출퇴근 차이에서 1시간 휴게 차감, 연장근무는 실근무 8시간 초과분으로 단순 계산한다.</x:v>
      </x:c>
    </x:row>
  </x:sheetData>
  <x:mergeCells>
    <x:mergeCell ref="A1:D2"/>
  </x:mergeCells>
  <x:pageMargins left="0.7" right="0.7" top="0.75" bottom="0.75" header="0.3" footer="0.3"/>
</x:worksheet>
</file>