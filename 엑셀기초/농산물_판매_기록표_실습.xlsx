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a39b4c263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판매요약" sheetId="1" r:id="R794eec7571d944e4"/>
    <x:sheet xmlns:r="http://schemas.openxmlformats.org/officeDocument/2006/relationships" name="판매기록" sheetId="2" r:id="Rd37ef5106ad0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"/>
    <x:numFmt numFmtId="202" formatCode="#,##0"/>
    <x:numFmt numFmtId="203" formatCode="0.0%"/>
    <x:numFmt numFmtId="204" formatCode="0"/>
  </x:numFmts>
  <x:fonts count="7">
    <x:font>
      <x:sz val="11"/>
      <x:name val="Carlito"/>
    </x:font>
    <x:font>
      <x:b/>
      <x:sz val="15"/>
      <x:color rgb="FF1F1F1F"/>
      <x:name val="Malgun Gothic"/>
    </x:font>
    <x:font>
      <x:i/>
      <x:sz val="10"/>
      <x:color rgb="FF666666"/>
      <x:name val="Malgun Gothic"/>
    </x:font>
    <x:font>
      <x:b/>
      <x:sz val="10"/>
      <x:color rgb="FFFFFFFF"/>
      <x:name val="Malgun Gothic"/>
    </x:font>
    <x:font>
      <x:sz val="10"/>
      <x:color rgb="FF1F1F1F"/>
      <x:name val="Malgun Gothic"/>
    </x:font>
    <x:font>
      <x:b/>
      <x:sz val="10"/>
      <x:color rgb="FF1F1F1F"/>
      <x:name val="Malgun Gothic"/>
    </x:font>
    <x:font>
      <x:b/>
      <x:sz val="10"/>
      <x:color rgb="FF375623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FFF9E6"/>
      </x:patternFill>
    </x:fill>
    <x:fill>
      <x:patternFill patternType="solid">
        <x:fgColor rgb="FFE2F0D9"/>
      </x:patternFill>
    </x:fill>
    <x:fill>
      <x:patternFill patternType="solid">
        <x:fgColor rgb="FFF8F9FA"/>
      </x:patternFill>
    </x:fill>
  </x:fills>
  <x:borders count="14">
    <x:border/>
    <x:border>
      <x:bottom style="medium">
        <x:color rgb="FF54823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bottom style="thin">
        <x:color rgb="FFD9EAD3"/>
      </x:bottom>
    </x:border>
    <x:border>
      <x:top style="thin">
        <x:color rgb="FFD9EAD3"/>
      </x:top>
      <x:bottom style="thin">
        <x:color rgb="FFD9EAD3"/>
      </x:bottom>
    </x:border>
    <x:border>
      <x:top style="thin">
        <x:color rgb="FFD9EAD3"/>
      </x:top>
    </x:border>
    <x:border>
      <x:left style="thin">
        <x:color rgb="FFA9D18E"/>
      </x:left>
      <x:top style="thin">
        <x:color rgb="FFA9D18E"/>
      </x:top>
      <x:bottom style="thin">
        <x:color rgb="FFA9D18E"/>
      </x:bottom>
    </x:border>
    <x:border>
      <x:top style="thin">
        <x:color rgb="FFA9D18E"/>
      </x:top>
      <x:bottom style="thin">
        <x:color rgb="FFA9D18E"/>
      </x:bottom>
    </x:border>
    <x:border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4" fillId="3" borderId="6" xfId="0" applyNumberFormat="1" applyFont="1" applyFill="1" applyBorder="1" applyAlignment="1">
      <x:alignment vertical="center"/>
    </x:xf>
    <x:xf numFmtId="200" fontId="4" fillId="3" borderId="7" xfId="0" applyNumberFormat="1" applyFont="1" applyFill="1" applyBorder="1" applyAlignment="1">
      <x:alignment vertical="center"/>
    </x:xf>
    <x:xf numFmtId="201" fontId="4" fillId="3" borderId="5" xfId="0" applyNumberFormat="1" applyFont="1" applyFill="1" applyBorder="1" applyAlignment="1">
      <x:alignment vertical="center"/>
    </x:xf>
    <x:xf numFmtId="201" fontId="4" fillId="3" borderId="6" xfId="0" applyNumberFormat="1" applyFont="1" applyFill="1" applyBorder="1" applyAlignment="1">
      <x:alignment vertical="center"/>
    </x:xf>
    <x:xf numFmtId="201" fontId="4" fillId="3" borderId="7" xfId="0" applyNumberFormat="1" applyFont="1" applyFill="1" applyBorder="1" applyAlignment="1">
      <x:alignment vertical="center"/>
    </x:xf>
    <x:xf numFmtId="202" fontId="4" fillId="3" borderId="5" xfId="0" applyNumberFormat="1" applyFont="1" applyFill="1" applyBorder="1" applyAlignment="1">
      <x:alignment vertical="center"/>
    </x:xf>
    <x:xf numFmtId="202" fontId="4" fillId="4" borderId="5" xfId="0" applyNumberFormat="1" applyFont="1" applyFill="1" applyBorder="1" applyAlignment="1">
      <x:alignment vertical="center"/>
    </x:xf>
    <x:xf numFmtId="202" fontId="4" fillId="3" borderId="6" xfId="0" applyNumberFormat="1" applyFont="1" applyFill="1" applyBorder="1" applyAlignment="1">
      <x:alignment vertical="center"/>
    </x:xf>
    <x:xf numFmtId="202" fontId="4" fillId="4" borderId="6" xfId="0" applyNumberFormat="1" applyFont="1" applyFill="1" applyBorder="1" applyAlignment="1">
      <x:alignment vertical="center"/>
    </x:xf>
    <x:xf numFmtId="202" fontId="4" fillId="3" borderId="7" xfId="0" applyNumberFormat="1" applyFont="1" applyFill="1" applyBorder="1" applyAlignment="1">
      <x:alignment vertical="center"/>
    </x:xf>
    <x:xf numFmtId="202" fontId="4" fillId="4" borderId="7" xfId="0" applyNumberFormat="1" applyFont="1" applyFill="1" applyBorder="1" applyAlignment="1">
      <x:alignment vertical="center"/>
    </x:xf>
    <x:xf numFmtId="201" fontId="4" fillId="3" borderId="5" xfId="0" applyNumberFormat="1" applyFont="1" applyFill="1" applyBorder="1" applyAlignment="1">
      <x:alignment horizontal="right" vertical="center"/>
    </x:xf>
    <x:xf numFmtId="202" fontId="4" fillId="3" borderId="5" xfId="0" applyNumberFormat="1" applyFont="1" applyFill="1" applyBorder="1" applyAlignment="1">
      <x:alignment horizontal="right" vertical="center"/>
    </x:xf>
    <x:xf numFmtId="202" fontId="4" fillId="4" borderId="5" xfId="0" applyNumberFormat="1" applyFont="1" applyFill="1" applyBorder="1" applyAlignment="1">
      <x:alignment horizontal="right" vertical="center"/>
    </x:xf>
    <x:xf numFmtId="201" fontId="4" fillId="3" borderId="6" xfId="0" applyNumberFormat="1" applyFont="1" applyFill="1" applyBorder="1" applyAlignment="1">
      <x:alignment horizontal="right" vertical="center"/>
    </x:xf>
    <x:xf numFmtId="202" fontId="4" fillId="3" borderId="6" xfId="0" applyNumberFormat="1" applyFont="1" applyFill="1" applyBorder="1" applyAlignment="1">
      <x:alignment horizontal="right" vertical="center"/>
    </x:xf>
    <x:xf numFmtId="202" fontId="4" fillId="4" borderId="6" xfId="0" applyNumberFormat="1" applyFont="1" applyFill="1" applyBorder="1" applyAlignment="1">
      <x:alignment horizontal="right" vertical="center"/>
    </x:xf>
    <x:xf numFmtId="201" fontId="4" fillId="3" borderId="7" xfId="0" applyNumberFormat="1" applyFont="1" applyFill="1" applyBorder="1" applyAlignment="1">
      <x:alignment horizontal="right" vertical="center"/>
    </x:xf>
    <x:xf numFmtId="202" fontId="4" fillId="3" borderId="7" xfId="0" applyNumberFormat="1" applyFont="1" applyFill="1" applyBorder="1" applyAlignment="1">
      <x:alignment horizontal="right" vertical="center"/>
    </x:xf>
    <x:xf numFmtId="202" fontId="4" fillId="4" borderId="7" xfId="0" applyNumberFormat="1" applyFont="1" applyFill="1" applyBorder="1" applyAlignment="1">
      <x:alignment horizontal="right" vertical="center"/>
    </x:xf>
    <x:xf numFmtId="200" fontId="4" fillId="3" borderId="5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200" fontId="4" fillId="3" borderId="7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/>
    <x:xf numFmtId="0" fontId="3" fillId="2" borderId="8" xfId="0" applyNumberFormat="1" applyFont="1" applyFill="1" applyBorder="1" applyAlignment="1">
      <x:alignment horizontal="center"/>
    </x:xf>
    <x:xf numFmtId="0" fontId="4" fillId="4" borderId="9" xfId="0" applyNumberFormat="1" applyFont="1" applyFill="1" applyBorder="1"/>
    <x:xf numFmtId="0" fontId="4" fillId="5" borderId="9" xfId="0" applyNumberFormat="1" applyFont="1" applyFill="1" applyBorder="1"/>
    <x:xf numFmtId="0" fontId="4" fillId="4" borderId="10" xfId="0" applyNumberFormat="1" applyFont="1" applyFill="1" applyBorder="1"/>
    <x:xf numFmtId="0" fontId="4" fillId="5" borderId="10" xfId="0" applyNumberFormat="1" applyFont="1" applyFill="1" applyBorder="1"/>
    <x:xf numFmtId="201" fontId="4" fillId="5" borderId="9" xfId="0" applyNumberFormat="1" applyFont="1" applyFill="1" applyBorder="1"/>
    <x:xf numFmtId="202" fontId="4" fillId="5" borderId="9" xfId="0" applyNumberFormat="1" applyFont="1" applyFill="1" applyBorder="1"/>
    <x:xf numFmtId="203" fontId="4" fillId="5" borderId="10" xfId="0" applyNumberFormat="1" applyFont="1" applyFill="1" applyBorder="1"/>
    <x:xf numFmtId="201" fontId="4" fillId="5" borderId="9" xfId="0" applyNumberFormat="1" applyFont="1" applyFill="1" applyBorder="1" applyAlignment="1">
      <x:alignment horizontal="right"/>
    </x:xf>
    <x:xf numFmtId="202" fontId="4" fillId="5" borderId="9" xfId="0" applyNumberFormat="1" applyFont="1" applyFill="1" applyBorder="1" applyAlignment="1">
      <x:alignment horizontal="right"/>
    </x:xf>
    <x:xf numFmtId="203" fontId="4" fillId="5" borderId="10" xfId="0" applyNumberFormat="1" applyFont="1" applyFill="1" applyBorder="1" applyAlignment="1">
      <x:alignment horizontal="right"/>
    </x:xf>
    <x:xf numFmtId="0" fontId="4" fillId="4" borderId="5" xfId="0" applyNumberFormat="1" applyFont="1" applyFill="1" applyBorder="1"/>
    <x:xf numFmtId="0" fontId="4" fillId="5" borderId="5" xfId="0" applyNumberFormat="1" applyFont="1" applyFill="1" applyBorder="1"/>
    <x:xf numFmtId="0" fontId="4" fillId="4" borderId="6" xfId="0" applyNumberFormat="1" applyFont="1" applyFill="1" applyBorder="1"/>
    <x:xf numFmtId="0" fontId="4" fillId="5" borderId="6" xfId="0" applyNumberFormat="1" applyFont="1" applyFill="1" applyBorder="1"/>
    <x:xf numFmtId="0" fontId="4" fillId="4" borderId="7" xfId="0" applyNumberFormat="1" applyFont="1" applyFill="1" applyBorder="1"/>
    <x:xf numFmtId="0" fontId="4" fillId="5" borderId="7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7" xfId="0" applyNumberFormat="1" applyFont="1" applyFill="1" applyBorder="1"/>
    <x:xf numFmtId="202" fontId="4" fillId="5" borderId="5" xfId="0" applyNumberFormat="1" applyFont="1" applyFill="1" applyBorder="1"/>
    <x:xf numFmtId="202" fontId="4" fillId="5" borderId="6" xfId="0" applyNumberFormat="1" applyFont="1" applyFill="1" applyBorder="1"/>
    <x:xf numFmtId="202" fontId="4" fillId="5" borderId="7" xfId="0" applyNumberFormat="1" applyFont="1" applyFill="1" applyBorder="1"/>
    <x:xf numFmtId="203" fontId="4" fillId="5" borderId="5" xfId="0" applyNumberFormat="1" applyFont="1" applyFill="1" applyBorder="1"/>
    <x:xf numFmtId="203" fontId="4" fillId="5" borderId="6" xfId="0" applyNumberFormat="1" applyFont="1" applyFill="1" applyBorder="1"/>
    <x:xf numFmtId="203" fontId="4" fillId="5" borderId="7" xfId="0" applyNumberFormat="1" applyFont="1" applyFill="1" applyBorder="1"/>
    <x:xf numFmtId="204" fontId="4" fillId="5" borderId="5" xfId="0" applyNumberFormat="1" applyFont="1" applyFill="1" applyBorder="1"/>
    <x:xf numFmtId="204" fontId="4" fillId="5" borderId="6" xfId="0" applyNumberFormat="1" applyFont="1" applyFill="1" applyBorder="1"/>
    <x:xf numFmtId="204" fontId="4" fillId="5" borderId="7" xfId="0" applyNumberFormat="1" applyFont="1" applyFill="1" applyBorder="1"/>
    <x:xf numFmtId="201" fontId="4" fillId="5" borderId="5" xfId="0" applyNumberFormat="1" applyFont="1" applyFill="1" applyBorder="1" applyAlignment="1">
      <x:alignment horizontal="right"/>
    </x:xf>
    <x:xf numFmtId="202" fontId="4" fillId="5" borderId="5" xfId="0" applyNumberFormat="1" applyFont="1" applyFill="1" applyBorder="1" applyAlignment="1">
      <x:alignment horizontal="right"/>
    </x:xf>
    <x:xf numFmtId="203" fontId="4" fillId="5" borderId="5" xfId="0" applyNumberFormat="1" applyFont="1" applyFill="1" applyBorder="1" applyAlignment="1">
      <x:alignment horizontal="right"/>
    </x:xf>
    <x:xf numFmtId="204" fontId="4" fillId="5" borderId="5" xfId="0" applyNumberFormat="1" applyFont="1" applyFill="1" applyBorder="1" applyAlignment="1">
      <x:alignment horizontal="right"/>
    </x:xf>
    <x:xf numFmtId="201" fontId="4" fillId="5" borderId="6" xfId="0" applyNumberFormat="1" applyFont="1" applyFill="1" applyBorder="1" applyAlignment="1">
      <x:alignment horizontal="right"/>
    </x:xf>
    <x:xf numFmtId="202" fontId="4" fillId="5" borderId="6" xfId="0" applyNumberFormat="1" applyFont="1" applyFill="1" applyBorder="1" applyAlignment="1">
      <x:alignment horizontal="right"/>
    </x:xf>
    <x:xf numFmtId="203" fontId="4" fillId="5" borderId="6" xfId="0" applyNumberFormat="1" applyFont="1" applyFill="1" applyBorder="1" applyAlignment="1">
      <x:alignment horizontal="right"/>
    </x:xf>
    <x:xf numFmtId="204" fontId="4" fillId="5" borderId="6" xfId="0" applyNumberFormat="1" applyFont="1" applyFill="1" applyBorder="1" applyAlignment="1">
      <x:alignment horizontal="right"/>
    </x:xf>
    <x:xf numFmtId="201" fontId="4" fillId="5" borderId="7" xfId="0" applyNumberFormat="1" applyFont="1" applyFill="1" applyBorder="1" applyAlignment="1">
      <x:alignment horizontal="right"/>
    </x:xf>
    <x:xf numFmtId="202" fontId="4" fillId="5" borderId="7" xfId="0" applyNumberFormat="1" applyFont="1" applyFill="1" applyBorder="1" applyAlignment="1">
      <x:alignment horizontal="right"/>
    </x:xf>
    <x:xf numFmtId="203" fontId="4" fillId="5" borderId="7" xfId="0" applyNumberFormat="1" applyFont="1" applyFill="1" applyBorder="1" applyAlignment="1">
      <x:alignment horizontal="right"/>
    </x:xf>
    <x:xf numFmtId="204" fontId="4" fillId="5" borderId="7" xfId="0" applyNumberFormat="1" applyFont="1" applyFill="1" applyBorder="1" applyAlignment="1">
      <x:alignment horizontal="right"/>
    </x:xf>
    <x:xf numFmtId="0" fontId="6" fillId="4" borderId="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13" xfId="0" applyNumberFormat="1" applyFont="1" applyFill="1" applyBorder="1"/>
    <x:xf numFmtId="0" fontId="6" fillId="4" borderId="11" xfId="0" applyNumberFormat="1" applyFont="1" applyFill="1" applyBorder="1" applyAlignment="1">
      <x:alignment horizontal="center"/>
    </x:xf>
    <x:xf numFmtId="0" fontId="6" fillId="4" borderId="12" xfId="0" applyNumberFormat="1" applyFont="1" applyFill="1" applyBorder="1" applyAlignment="1">
      <x:alignment horizontal="center"/>
    </x:xf>
    <x:xf numFmtId="0" fontId="6" fillId="4" borderId="13" xfId="0" applyNumberFormat="1" applyFont="1" applyFill="1" applyBorder="1" applyAlignment="1">
      <x:alignment horizontal="center"/>
    </x:xf>
    <x:xf numFmtId="0" fontId="3" fillId="2" borderId="8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201" fontId="4" fillId="5" borderId="9" xfId="0" applyNumberFormat="1" applyFont="1" applyFill="1" applyBorder="1" applyAlignment="1">
      <x:alignment horizontal="right" vertical="center"/>
    </x:xf>
    <x:xf numFmtId="201" fontId="4" fillId="5" borderId="5" xfId="0" applyNumberFormat="1" applyFont="1" applyFill="1" applyBorder="1" applyAlignment="1">
      <x:alignment horizontal="right" vertical="center"/>
    </x:xf>
    <x:xf numFmtId="202" fontId="4" fillId="5" borderId="5" xfId="0" applyNumberFormat="1" applyFont="1" applyFill="1" applyBorder="1" applyAlignment="1">
      <x:alignment horizontal="right" vertical="center"/>
    </x:xf>
    <x:xf numFmtId="203" fontId="4" fillId="5" borderId="5" xfId="0" applyNumberFormat="1" applyFont="1" applyFill="1" applyBorder="1" applyAlignment="1">
      <x:alignment horizontal="right" vertical="center"/>
    </x:xf>
    <x:xf numFmtId="204" fontId="4" fillId="5" borderId="5" xfId="0" applyNumberFormat="1" applyFont="1" applyFill="1" applyBorder="1" applyAlignment="1">
      <x:alignment horizontal="right" vertical="center"/>
    </x:xf>
    <x:xf numFmtId="202" fontId="4" fillId="5" borderId="9" xfId="0" applyNumberFormat="1" applyFont="1" applyFill="1" applyBorder="1" applyAlignment="1">
      <x:alignment horizontal="right" vertical="center"/>
    </x:xf>
    <x:xf numFmtId="201" fontId="4" fillId="5" borderId="6" xfId="0" applyNumberFormat="1" applyFont="1" applyFill="1" applyBorder="1" applyAlignment="1">
      <x:alignment horizontal="right" vertical="center"/>
    </x:xf>
    <x:xf numFmtId="202" fontId="4" fillId="5" borderId="6" xfId="0" applyNumberFormat="1" applyFont="1" applyFill="1" applyBorder="1" applyAlignment="1">
      <x:alignment horizontal="right" vertical="center"/>
    </x:xf>
    <x:xf numFmtId="203" fontId="4" fillId="5" borderId="6" xfId="0" applyNumberFormat="1" applyFont="1" applyFill="1" applyBorder="1" applyAlignment="1">
      <x:alignment horizontal="right" vertical="center"/>
    </x:xf>
    <x:xf numFmtId="204" fontId="4" fillId="5" borderId="6" xfId="0" applyNumberFormat="1" applyFont="1" applyFill="1" applyBorder="1" applyAlignment="1">
      <x:alignment horizontal="right" vertical="center"/>
    </x:xf>
    <x:xf numFmtId="0" fontId="4" fillId="4" borderId="10" xfId="0" applyNumberFormat="1" applyFont="1" applyFill="1" applyBorder="1" applyAlignment="1">
      <x:alignment vertical="center"/>
    </x:xf>
    <x:xf numFmtId="203" fontId="4" fillId="5" borderId="10" xfId="0" applyNumberFormat="1" applyFont="1" applyFill="1" applyBorder="1" applyAlignment="1">
      <x:alignment horizontal="right" vertical="center"/>
    </x:xf>
    <x:xf numFmtId="201" fontId="4" fillId="5" borderId="7" xfId="0" applyNumberFormat="1" applyFont="1" applyFill="1" applyBorder="1" applyAlignment="1">
      <x:alignment horizontal="right" vertical="center"/>
    </x:xf>
    <x:xf numFmtId="202" fontId="4" fillId="5" borderId="7" xfId="0" applyNumberFormat="1" applyFont="1" applyFill="1" applyBorder="1" applyAlignment="1">
      <x:alignment horizontal="right" vertical="center"/>
    </x:xf>
    <x:xf numFmtId="203" fontId="4" fillId="5" borderId="7" xfId="0" applyNumberFormat="1" applyFont="1" applyFill="1" applyBorder="1" applyAlignment="1">
      <x:alignment horizontal="right" vertical="center"/>
    </x:xf>
    <x:xf numFmtId="204" fontId="4" fillId="5" borderId="7" xfId="0" applyNumberFormat="1" applyFont="1" applyFill="1" applyBorder="1" applyAlignment="1">
      <x:alignment horizontal="right" vertical="center"/>
    </x:xf>
    <x:xf numFmtId="0" fontId="6" fillId="4" borderId="11" xfId="0" applyNumberFormat="1" applyFont="1" applyFill="1" applyBorder="1" applyAlignment="1">
      <x:alignment horizontal="center" vertical="center"/>
    </x:xf>
    <x:xf numFmtId="0" fontId="6" fillId="4" borderId="12" xfId="0" applyNumberFormat="1" applyFont="1" applyFill="1" applyBorder="1" applyAlignment="1">
      <x:alignment horizontal="center" vertical="center"/>
    </x:xf>
    <x:xf numFmtId="0" fontId="6" fillId="4" borderId="13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e352ad952404b" /><Relationship Type="http://schemas.openxmlformats.org/officeDocument/2006/relationships/theme" Target="/xl/theme/theme1.xml" Id="R0b211ed53438442b" /><Relationship Type="http://schemas.openxmlformats.org/officeDocument/2006/relationships/sharedStrings" Target="/xl/sharedStrings.xml" Id="R3c1231f7a88f49ee" /><Relationship Type="http://schemas.openxmlformats.org/officeDocument/2006/relationships/worksheet" Target="/xl/worksheets/sheet1.xml" Id="R794eec7571d944e4" /><Relationship Type="http://schemas.openxmlformats.org/officeDocument/2006/relationships/worksheet" Target="/xl/worksheets/sheet2.xml" Id="Rd37ef5106ad048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0d1c2eea9e4c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algun Gothic"/>
                <a:ea typeface="Malgun Gothic"/>
                <a:cs typeface="Malgun Gothic"/>
              </a:rPr>
              <a:t>품목별 매출액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매출액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'판매요약'!$D$6:$D$12</c:f>
              <c:strCache>
                <c:ptCount val="0"/>
              </c:strCache>
            </c:strRef>
          </c:cat>
          <c:val>
            <c:numRef>
              <c:f>'판매요약'!$F$6:$F$12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4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0d1c2eea9e4cd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rmSalesTable" displayName="FarmSalesTable" ref="A4:L31" headerRowCount="1" totalsRowCount="0" totalsRowShown="0">
  <x:autoFilter ref="A4:L31"/>
  <x:tableColumns count="12">
    <x:tableColumn id="1" name="판매일"/>
    <x:tableColumn id="2" name="품목"/>
    <x:tableColumn id="3" name="등급"/>
    <x:tableColumn id="4" name="수량(kg)"/>
    <x:tableColumn id="5" name="단가(원/kg)"/>
    <x:tableColumn id="6" name="판매금액"/>
    <x:tableColumn id="7" name="판매처"/>
    <x:tableColumn id="8" name="수금액"/>
    <x:tableColumn id="9" name="미수금"/>
    <x:tableColumn id="10" name="결제상태"/>
    <x:tableColumn id="11" name="결제수단"/>
    <x:tableColumn id="12" name="비고"/>
  </x:tableColumns>
  <x:tableStyleInfo name="TableStyleMedium4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65b7a030e445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b9da8ab82849d8" /></Relationships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3" hidden="0" customWidth="1"/>
    <x:col min="4" max="4" width="13" hidden="0" customWidth="1"/>
    <x:col min="5" max="5" width="14" hidden="0" customWidth="1"/>
    <x:col min="6" max="6" width="15" hidden="0" customWidth="1"/>
    <x:col min="7" max="7" width="13" hidden="0" customWidth="1"/>
    <x:col min="8" max="8" width="11" hidden="0" customWidth="1"/>
    <x:col min="9" max="9" width="13" hidden="0" customWidth="1"/>
    <x:col min="10" max="10" width="3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2">
      <x:c r="A2" s="2" t="str">
        <x:v>농산물 판매 현황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판매기록을 품목별로 묶어 판매량·매출액·비중·판매 건수·평균단가를 집계했습니다.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5" ht="24" customHeight="1">
      <x:c r="A5" s="109" t="str">
        <x:v>전체 판매 통계</x:v>
      </x:c>
      <x:c r="B5" s="109" t="str">
        <x:v>결과</x:v>
      </x:c>
      <x:c r="C5" s="110"/>
      <x:c r="D5" s="12" t="str">
        <x:v>품목</x:v>
      </x:c>
      <x:c r="E5" s="13" t="str">
        <x:v>판매량(kg)</x:v>
      </x:c>
      <x:c r="F5" s="13" t="str">
        <x:v>매출액</x:v>
      </x:c>
      <x:c r="G5" s="13" t="str">
        <x:v>매출 비중</x:v>
      </x:c>
      <x:c r="H5" s="13" t="str">
        <x:v>판매 건수</x:v>
      </x:c>
      <x:c r="I5" s="14" t="str">
        <x:v>평균단가</x:v>
      </x:c>
      <x:c r="J5" s="110"/>
      <x:c r="K5" s="110"/>
      <x:c r="L5" s="110"/>
      <x:c r="M5" s="110"/>
      <x:c r="N5" s="110"/>
      <x:c r="O5" s="110"/>
      <x:c r="P5" s="110"/>
      <x:c r="Q5" s="110"/>
    </x:row>
    <x:row r="6" ht="24" customHeight="1">
      <x:c r="A6" s="111" t="str">
        <x:v>총 판매량(kg)</x:v>
      </x:c>
      <x:c r="B6" s="112" t="n">
        <x:f>SUM('판매기록'!$D$5:$D$104)</x:f>
        <x:v>2313</x:v>
      </x:c>
      <x:c r="C6" s="110"/>
      <x:c r="D6" s="22" t="str">
        <x:v>토마토</x:v>
      </x:c>
      <x:c r="E6" s="113" t="n">
        <x:f>SUMIFS('판매기록'!$D$5:$D$104,'판매기록'!$B$5:$B$104,D6)</x:f>
        <x:v>430</x:v>
      </x:c>
      <x:c r="F6" s="114" t="n">
        <x:f>SUMIFS('판매기록'!$F$5:$F$104,'판매기록'!$B$5:$B$104,D6)</x:f>
        <x:v>1688500</x:v>
      </x:c>
      <x:c r="G6" s="115" t="n">
        <x:f>IF($B$7=0,0,F6/$B$7)</x:f>
        <x:v>0.19629612406705574</x:v>
      </x:c>
      <x:c r="H6" s="116" t="n">
        <x:f>COUNTIFS('판매기록'!$B$5:$B$104,D6,'판매기록'!$F$5:$F$104,"&gt;0")</x:f>
        <x:v>4</x:v>
      </x:c>
      <x:c r="I6" s="114" t="n">
        <x:f>IF(E6=0,0,F6/E6)</x:f>
        <x:v>3926.7441860465115</x:v>
      </x:c>
      <x:c r="J6" s="110"/>
      <x:c r="K6" s="110"/>
      <x:c r="L6" s="110"/>
      <x:c r="M6" s="110"/>
      <x:c r="N6" s="110"/>
      <x:c r="O6" s="110"/>
      <x:c r="P6" s="110"/>
      <x:c r="Q6" s="110"/>
    </x:row>
    <x:row r="7" ht="24" customHeight="1">
      <x:c r="A7" s="111" t="str">
        <x:v>총 매출액</x:v>
      </x:c>
      <x:c r="B7" s="117" t="n">
        <x:f>SUM('판매기록'!$F$5:$F$104)</x:f>
        <x:v>8601800</x:v>
      </x:c>
      <x:c r="C7" s="110"/>
      <x:c r="D7" s="24" t="str">
        <x:v>딸기</x:v>
      </x:c>
      <x:c r="E7" s="118" t="n">
        <x:f>SUMIFS('판매기록'!$D$5:$D$104,'판매기록'!$B$5:$B$104,D7)</x:f>
        <x:v>125</x:v>
      </x:c>
      <x:c r="F7" s="119" t="n">
        <x:f>SUMIFS('판매기록'!$F$5:$F$104,'판매기록'!$B$5:$B$104,D7)</x:f>
        <x:v>1444000</x:v>
      </x:c>
      <x:c r="G7" s="120" t="n">
        <x:f>IF($B$7=0,0,F7/$B$7)</x:f>
        <x:v>0.1678718407775117</x:v>
      </x:c>
      <x:c r="H7" s="121" t="n">
        <x:f>COUNTIFS('판매기록'!$B$5:$B$104,D7,'판매기록'!$F$5:$F$104,"&gt;0")</x:f>
        <x:v>4</x:v>
      </x:c>
      <x:c r="I7" s="119" t="n">
        <x:f>IF(E7=0,0,F7/E7)</x:f>
        <x:v>11552</x:v>
      </x:c>
      <x:c r="J7" s="110"/>
      <x:c r="K7" s="110"/>
      <x:c r="L7" s="110"/>
      <x:c r="M7" s="110"/>
      <x:c r="N7" s="110"/>
      <x:c r="O7" s="110"/>
      <x:c r="P7" s="110"/>
      <x:c r="Q7" s="110"/>
    </x:row>
    <x:row r="8" ht="24" customHeight="1">
      <x:c r="A8" s="111" t="str">
        <x:v>수금액</x:v>
      </x:c>
      <x:c r="B8" s="117" t="n">
        <x:f>SUM('판매기록'!$H$5:$H$104)</x:f>
        <x:v>8243800</x:v>
      </x:c>
      <x:c r="C8" s="110"/>
      <x:c r="D8" s="24" t="str">
        <x:v>오이</x:v>
      </x:c>
      <x:c r="E8" s="118" t="n">
        <x:f>SUMIFS('판매기록'!$D$5:$D$104,'판매기록'!$B$5:$B$104,D8)</x:f>
        <x:v>373</x:v>
      </x:c>
      <x:c r="F8" s="119" t="n">
        <x:f>SUMIFS('판매기록'!$F$5:$F$104,'판매기록'!$B$5:$B$104,D8)</x:f>
        <x:v>1027500</x:v>
      </x:c>
      <x:c r="G8" s="120" t="n">
        <x:f>IF($B$7=0,0,F8/$B$7)</x:f>
        <x:v>0.11945174265851334</x:v>
      </x:c>
      <x:c r="H8" s="121" t="n">
        <x:f>COUNTIFS('판매기록'!$B$5:$B$104,D8,'판매기록'!$F$5:$F$104,"&gt;0")</x:f>
        <x:v>4</x:v>
      </x:c>
      <x:c r="I8" s="119" t="n">
        <x:f>IF(E8=0,0,F8/E8)</x:f>
        <x:v>2754.691689008043</x:v>
      </x:c>
      <x:c r="J8" s="110"/>
      <x:c r="K8" s="110"/>
      <x:c r="L8" s="110"/>
      <x:c r="M8" s="110"/>
      <x:c r="N8" s="110"/>
      <x:c r="O8" s="110"/>
      <x:c r="P8" s="110"/>
      <x:c r="Q8" s="110"/>
    </x:row>
    <x:row r="9" ht="24" customHeight="1">
      <x:c r="A9" s="111" t="str">
        <x:v>미수금</x:v>
      </x:c>
      <x:c r="B9" s="117" t="n">
        <x:f>SUM('판매기록'!$I$5:$I$104)</x:f>
        <x:v>358000</x:v>
      </x:c>
      <x:c r="C9" s="110"/>
      <x:c r="D9" s="24" t="str">
        <x:v>상추</x:v>
      </x:c>
      <x:c r="E9" s="118" t="n">
        <x:f>SUMIFS('판매기록'!$D$5:$D$104,'판매기록'!$B$5:$B$104,D9)</x:f>
        <x:v>175</x:v>
      </x:c>
      <x:c r="F9" s="119" t="n">
        <x:f>SUMIFS('판매기록'!$F$5:$F$104,'판매기록'!$B$5:$B$104,D9)</x:f>
        <x:v>604300</x:v>
      </x:c>
      <x:c r="G9" s="120" t="n">
        <x:f>IF($B$7=0,0,F9/$B$7)</x:f>
        <x:v>0.07025273779906531</x:v>
      </x:c>
      <x:c r="H9" s="121" t="n">
        <x:f>COUNTIFS('판매기록'!$B$5:$B$104,D9,'판매기록'!$F$5:$F$104,"&gt;0")</x:f>
        <x:v>4</x:v>
      </x:c>
      <x:c r="I9" s="119" t="n">
        <x:f>IF(E9=0,0,F9/E9)</x:f>
        <x:v>3453.1428571428573</x:v>
      </x:c>
      <x:c r="J9" s="110"/>
      <x:c r="K9" s="110"/>
      <x:c r="L9" s="110"/>
      <x:c r="M9" s="110"/>
      <x:c r="N9" s="110"/>
      <x:c r="O9" s="110"/>
      <x:c r="P9" s="110"/>
      <x:c r="Q9" s="110"/>
    </x:row>
    <x:row r="10" ht="24" customHeight="1">
      <x:c r="A10" s="111" t="str">
        <x:v>건당 평균 매출</x:v>
      </x:c>
      <x:c r="B10" s="117" t="n">
        <x:f>IF(COUNTIFS('판매기록'!$F$5:$F$104,"&gt;0")=0,0,B7/COUNTIFS('판매기록'!$F$5:$F$104,"&gt;0"))</x:f>
        <x:v>318585.18518518517</x:v>
      </x:c>
      <x:c r="C10" s="110"/>
      <x:c r="D10" s="24" t="str">
        <x:v>파프리카</x:v>
      </x:c>
      <x:c r="E10" s="118" t="n">
        <x:f>SUMIFS('판매기록'!$D$5:$D$104,'판매기록'!$B$5:$B$104,D10)</x:f>
        <x:v>250</x:v>
      </x:c>
      <x:c r="F10" s="119" t="n">
        <x:f>SUMIFS('판매기록'!$F$5:$F$104,'판매기록'!$B$5:$B$104,D10)</x:f>
        <x:v>1628000</x:v>
      </x:c>
      <x:c r="G10" s="120" t="n">
        <x:f>IF($B$7=0,0,F10/$B$7)</x:f>
        <x:v>0.18926271245553256</x:v>
      </x:c>
      <x:c r="H10" s="121" t="n">
        <x:f>COUNTIFS('판매기록'!$B$5:$B$104,D10,'판매기록'!$F$5:$F$104,"&gt;0")</x:f>
        <x:v>4</x:v>
      </x:c>
      <x:c r="I10" s="119" t="n">
        <x:f>IF(E10=0,0,F10/E10)</x:f>
        <x:v>6512</x:v>
      </x:c>
      <x:c r="J10" s="110"/>
      <x:c r="K10" s="110"/>
      <x:c r="L10" s="110"/>
      <x:c r="M10" s="110"/>
      <x:c r="N10" s="110"/>
      <x:c r="O10" s="110"/>
      <x:c r="P10" s="110"/>
      <x:c r="Q10" s="110"/>
    </x:row>
    <x:row r="11" ht="24" customHeight="1">
      <x:c r="A11" s="111" t="str">
        <x:v>최고 판매액</x:v>
      </x:c>
      <x:c r="B11" s="117" t="n">
        <x:f>MAX('판매기록'!$F$5:$F$104)</x:f>
        <x:v>504000</x:v>
      </x:c>
      <x:c r="C11" s="110"/>
      <x:c r="D11" s="24" t="str">
        <x:v>감자</x:v>
      </x:c>
      <x:c r="E11" s="118" t="n">
        <x:f>SUMIFS('판매기록'!$D$5:$D$104,'판매기록'!$B$5:$B$104,D11)</x:f>
        <x:v>595</x:v>
      </x:c>
      <x:c r="F11" s="119" t="n">
        <x:f>SUMIFS('판매기록'!$F$5:$F$104,'판매기록'!$B$5:$B$104,D11)</x:f>
        <x:v>1159500</x:v>
      </x:c>
      <x:c r="G11" s="120" t="n">
        <x:f>IF($B$7=0,0,F11/$B$7)</x:f>
        <x:v>0.1347973679927457</x:v>
      </x:c>
      <x:c r="H11" s="121" t="n">
        <x:f>COUNTIFS('판매기록'!$B$5:$B$104,D11,'판매기록'!$F$5:$F$104,"&gt;0")</x:f>
        <x:v>4</x:v>
      </x:c>
      <x:c r="I11" s="119" t="n">
        <x:f>IF(E11=0,0,F11/E11)</x:f>
        <x:v>1948.7394957983192</x:v>
      </x:c>
      <x:c r="J11" s="110"/>
      <x:c r="K11" s="110"/>
      <x:c r="L11" s="110"/>
      <x:c r="M11" s="110"/>
      <x:c r="N11" s="110"/>
      <x:c r="O11" s="110"/>
      <x:c r="P11" s="110"/>
      <x:c r="Q11" s="110"/>
    </x:row>
    <x:row r="12" ht="24" customHeight="1">
      <x:c r="A12" s="122" t="str">
        <x:v>완납률</x:v>
      </x:c>
      <x:c r="B12" s="123" t="n">
        <x:f>IF(COUNTIFS('판매기록'!$F$5:$F$104,"&gt;0")=0,0,COUNTIFS('판매기록'!$J$5:$J$104,"완료")/COUNTIFS('판매기록'!$F$5:$F$104,"&gt;0"))</x:f>
        <x:v>0.8148148148148148</x:v>
      </x:c>
      <x:c r="C12" s="110"/>
      <x:c r="D12" s="26" t="str">
        <x:v>고구마</x:v>
      </x:c>
      <x:c r="E12" s="124" t="n">
        <x:f>SUMIFS('판매기록'!$D$5:$D$104,'판매기록'!$B$5:$B$104,D12)</x:f>
        <x:v>365</x:v>
      </x:c>
      <x:c r="F12" s="125" t="n">
        <x:f>SUMIFS('판매기록'!$F$5:$F$104,'판매기록'!$B$5:$B$104,D12)</x:f>
        <x:v>1050000</x:v>
      </x:c>
      <x:c r="G12" s="126" t="n">
        <x:f>IF($B$7=0,0,F12/$B$7)</x:f>
        <x:v>0.12206747424957567</x:v>
      </x:c>
      <x:c r="H12" s="127" t="n">
        <x:f>COUNTIFS('판매기록'!$B$5:$B$104,D12,'판매기록'!$F$5:$F$104,"&gt;0")</x:f>
        <x:v>3</x:v>
      </x:c>
      <x:c r="I12" s="125" t="n">
        <x:f>IF(E12=0,0,F12/E12)</x:f>
        <x:v>2876.7123287671234</x:v>
      </x:c>
      <x:c r="J12" s="110"/>
      <x:c r="K12" s="110"/>
      <x:c r="L12" s="110"/>
      <x:c r="M12" s="110"/>
      <x:c r="N12" s="110"/>
      <x:c r="O12" s="110"/>
      <x:c r="P12" s="110"/>
      <x:c r="Q12" s="110"/>
    </x:row>
    <x:row r="13" ht="24" customHeight="1">
      <x:c r="A13" s="110"/>
      <x:c r="B13" s="110"/>
      <x:c r="C13" s="110"/>
      <x:c r="D13" s="110"/>
      <x:c r="E13" s="110"/>
      <x:c r="F13" s="110"/>
      <x:c r="G13" s="110"/>
      <x:c r="H13" s="110"/>
      <x:c r="I13" s="110"/>
      <x:c r="J13" s="110"/>
      <x:c r="K13" s="110"/>
      <x:c r="L13" s="110"/>
      <x:c r="M13" s="110"/>
      <x:c r="N13" s="110"/>
      <x:c r="O13" s="110"/>
      <x:c r="P13" s="110"/>
      <x:c r="Q13" s="110"/>
    </x:row>
    <x:row r="14" ht="24" customHeight="1">
      <x:c r="A14" s="110"/>
      <x:c r="B14" s="110"/>
      <x:c r="C14" s="110"/>
      <x:c r="D14" s="110"/>
      <x:c r="E14" s="110"/>
      <x:c r="F14" s="110"/>
      <x:c r="G14" s="110"/>
      <x:c r="H14" s="110"/>
      <x:c r="I14" s="110"/>
      <x:c r="J14" s="110"/>
      <x:c r="K14" s="110"/>
      <x:c r="L14" s="110"/>
      <x:c r="M14" s="110"/>
      <x:c r="N14" s="110"/>
      <x:c r="O14" s="110"/>
      <x:c r="P14" s="110"/>
      <x:c r="Q14" s="110"/>
    </x:row>
    <x:row r="15" ht="24" customHeight="1">
      <x:c r="A15" s="128" t="str">
        <x:v>사용한 계산</x:v>
      </x:c>
      <x:c r="B15" s="129" t="str">
        <x:v>수량×단가</x:v>
      </x:c>
      <x:c r="C15" s="129" t="str">
        <x:v>SUM</x:v>
      </x:c>
      <x:c r="D15" s="129" t="str">
        <x:v>SUMIFS</x:v>
      </x:c>
      <x:c r="E15" s="129" t="str">
        <x:v>COUNTIFS</x:v>
      </x:c>
      <x:c r="F15" s="129" t="str">
        <x:v>MAX</x:v>
      </x:c>
      <x:c r="G15" s="129" t="str">
        <x:v>IF</x:v>
      </x:c>
      <x:c r="H15" s="129" t="str">
        <x:v>비중</x:v>
      </x:c>
      <x:c r="I15" s="130" t="str">
        <x:v>평균단가</x:v>
      </x:c>
      <x:c r="J15" s="110"/>
      <x:c r="K15" s="110"/>
      <x:c r="L15" s="110"/>
      <x:c r="M15" s="110"/>
      <x:c r="N15" s="110"/>
      <x:c r="O15" s="110"/>
      <x:c r="P15" s="110"/>
      <x:c r="Q15" s="110"/>
    </x:row>
    <x:row r="16" ht="24" customHeight="1">
      <x:c r="A16" s="110"/>
      <x:c r="B16" s="110"/>
      <x:c r="C16" s="110"/>
      <x:c r="D16" s="110"/>
      <x:c r="E16" s="110"/>
      <x:c r="F16" s="110"/>
      <x:c r="G16" s="110"/>
      <x:c r="H16" s="110"/>
      <x:c r="I16" s="110"/>
      <x:c r="J16" s="110"/>
      <x:c r="K16" s="110"/>
      <x:c r="L16" s="110"/>
      <x:c r="M16" s="110"/>
      <x:c r="N16" s="110"/>
      <x:c r="O16" s="110"/>
      <x:c r="P16" s="110"/>
      <x:c r="Q16" s="110"/>
    </x:row>
    <x:row r="17" ht="24" customHeight="1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0"/>
      <x:c r="P17" s="110"/>
      <x:c r="Q17" s="110"/>
    </x:row>
  </x:sheetData>
  <x:conditionalFormatting sqref="B9:B9">
    <x:cfRule type="cellIs" dxfId="2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8a65b7a030e44595"/>
</x:worksheet>
</file>

<file path=xl/worksheets/sheet2.xml><?xml version="1.0" encoding="utf-8"?>
<x:worksheet xmlns:x="http://schemas.openxmlformats.org/spreadsheetml/2006/main">
  <x:sheetPr>
    <x:tabColor rgb="FFA9D18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13" hidden="0" customWidth="1"/>
    <x:col min="5" max="5" width="13" hidden="0" customWidth="1"/>
    <x:col min="6" max="6" width="14" hidden="0" customWidth="1"/>
    <x:col min="7" max="7" width="17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6" hidden="0" customWidth="1"/>
  </x:cols>
  <x:sheetData>
    <x:row r="2">
      <x:c r="A2" s="2" t="str">
        <x:v>농산물 판매 기록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노란색 셀에 판매 내용을 입력하면 판매금액·미수금·결제상태와 판매요약이 자동으로 계산됩니다.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6" customHeight="1">
      <x:c r="A4" s="12" t="str">
        <x:v>판매일</x:v>
      </x:c>
      <x:c r="B4" s="13" t="str">
        <x:v>품목</x:v>
      </x:c>
      <x:c r="C4" s="13" t="str">
        <x:v>등급</x:v>
      </x:c>
      <x:c r="D4" s="13" t="str">
        <x:v>수량(kg)</x:v>
      </x:c>
      <x:c r="E4" s="13" t="str">
        <x:v>단가(원/kg)</x:v>
      </x:c>
      <x:c r="F4" s="13" t="str">
        <x:v>판매금액</x:v>
      </x:c>
      <x:c r="G4" s="13" t="str">
        <x:v>판매처</x:v>
      </x:c>
      <x:c r="H4" s="13" t="str">
        <x:v>수금액</x:v>
      </x:c>
      <x:c r="I4" s="13" t="str">
        <x:v>미수금</x:v>
      </x:c>
      <x:c r="J4" s="13" t="str">
        <x:v>결제상태</x:v>
      </x:c>
      <x:c r="K4" s="13" t="str">
        <x:v>결제수단</x:v>
      </x:c>
      <x:c r="L4" s="14" t="str">
        <x:v>비고</x:v>
      </x:c>
    </x:row>
    <x:row r="5" ht="22" customHeight="1">
      <x:c r="A5" s="48" t="n">
        <x:v>46266</x:v>
      </x:c>
      <x:c r="B5" s="49" t="str">
        <x:v>토마토</x:v>
      </x:c>
      <x:c r="C5" s="49" t="str">
        <x:v>특</x:v>
      </x:c>
      <x:c r="D5" s="39" t="n">
        <x:v>120</x:v>
      </x:c>
      <x:c r="E5" s="40" t="n">
        <x:v>4200</x:v>
      </x:c>
      <x:c r="F5" s="41" t="n">
        <x:f>IF(OR(D5="",E5=""),"",D5*E5)</x:f>
        <x:v>504000</x:v>
      </x:c>
      <x:c r="G5" s="40" t="str">
        <x:v>광주로컬마트</x:v>
      </x:c>
      <x:c r="H5" s="40" t="n">
        <x:v>504000</x:v>
      </x:c>
      <x:c r="I5" s="41" t="n">
        <x:f>IF(F5="","",F5-H5)</x:f>
        <x:v>0</x:v>
      </x:c>
      <x:c r="J5" s="54" t="str">
        <x:f>IF(F5="","",IF(I5&lt;=0,"완료","미수"))</x:f>
        <x:v>완료</x:v>
      </x:c>
      <x:c r="K5" s="49" t="str">
        <x:v>계좌이체</x:v>
      </x:c>
      <x:c r="L5" s="21" t="str"/>
    </x:row>
    <x:row r="6" ht="22" customHeight="1">
      <x:c r="A6" s="50" t="n">
        <x:v>46267</x:v>
      </x:c>
      <x:c r="B6" s="51" t="str">
        <x:v>상추</x:v>
      </x:c>
      <x:c r="C6" s="51" t="str">
        <x:v>상</x:v>
      </x:c>
      <x:c r="D6" s="42" t="n">
        <x:v>45</x:v>
      </x:c>
      <x:c r="E6" s="43" t="n">
        <x:v>3500</x:v>
      </x:c>
      <x:c r="F6" s="44" t="n">
        <x:f>IF(OR(D6="",E6=""),"",D6*E6)</x:f>
        <x:v>157500</x:v>
      </x:c>
      <x:c r="G6" s="43" t="str">
        <x:v>한마음식당</x:v>
      </x:c>
      <x:c r="H6" s="43" t="n">
        <x:v>157500</x:v>
      </x:c>
      <x:c r="I6" s="44" t="n">
        <x:f>IF(F6="","",F6-H6)</x:f>
        <x:v>0</x:v>
      </x:c>
      <x:c r="J6" s="55" t="str">
        <x:f>IF(F6="","",IF(I6&lt;=0,"완료","미수"))</x:f>
        <x:v>완료</x:v>
      </x:c>
      <x:c r="K6" s="51" t="str">
        <x:v>현금</x:v>
      </x:c>
      <x:c r="L6" s="23" t="str"/>
    </x:row>
    <x:row r="7" ht="22" customHeight="1">
      <x:c r="A7" s="50" t="n">
        <x:v>46268</x:v>
      </x:c>
      <x:c r="B7" s="51" t="str">
        <x:v>오이</x:v>
      </x:c>
      <x:c r="C7" s="51" t="str">
        <x:v>상</x:v>
      </x:c>
      <x:c r="D7" s="42" t="n">
        <x:v>80</x:v>
      </x:c>
      <x:c r="E7" s="43" t="n">
        <x:v>2800</x:v>
      </x:c>
      <x:c r="F7" s="44" t="n">
        <x:f>IF(OR(D7="",E7=""),"",D7*E7)</x:f>
        <x:v>224000</x:v>
      </x:c>
      <x:c r="G7" s="43" t="str">
        <x:v>농협공판장</x:v>
      </x:c>
      <x:c r="H7" s="43" t="n">
        <x:v>224000</x:v>
      </x:c>
      <x:c r="I7" s="44" t="n">
        <x:f>IF(F7="","",F7-H7)</x:f>
        <x:v>0</x:v>
      </x:c>
      <x:c r="J7" s="55" t="str">
        <x:f>IF(F7="","",IF(I7&lt;=0,"완료","미수"))</x:f>
        <x:v>완료</x:v>
      </x:c>
      <x:c r="K7" s="51" t="str">
        <x:v>계좌이체</x:v>
      </x:c>
      <x:c r="L7" s="23" t="str"/>
    </x:row>
    <x:row r="8" ht="22" customHeight="1">
      <x:c r="A8" s="50" t="n">
        <x:v>46269</x:v>
      </x:c>
      <x:c r="B8" s="51" t="str">
        <x:v>딸기</x:v>
      </x:c>
      <x:c r="C8" s="51" t="str">
        <x:v>특</x:v>
      </x:c>
      <x:c r="D8" s="42" t="n">
        <x:v>35</x:v>
      </x:c>
      <x:c r="E8" s="43" t="n">
        <x:v>12000</x:v>
      </x:c>
      <x:c r="F8" s="44" t="n">
        <x:f>IF(OR(D8="",E8=""),"",D8*E8)</x:f>
        <x:v>420000</x:v>
      </x:c>
      <x:c r="G8" s="43" t="str">
        <x:v>온라인주문</x:v>
      </x:c>
      <x:c r="H8" s="43" t="n">
        <x:v>420000</x:v>
      </x:c>
      <x:c r="I8" s="44" t="n">
        <x:f>IF(F8="","",F8-H8)</x:f>
        <x:v>0</x:v>
      </x:c>
      <x:c r="J8" s="55" t="str">
        <x:f>IF(F8="","",IF(I8&lt;=0,"완료","미수"))</x:f>
        <x:v>완료</x:v>
      </x:c>
      <x:c r="K8" s="51" t="str">
        <x:v>카드</x:v>
      </x:c>
      <x:c r="L8" s="23" t="str">
        <x:v>택배</x:v>
      </x:c>
    </x:row>
    <x:row r="9" ht="22" customHeight="1">
      <x:c r="A9" s="50" t="n">
        <x:v>46270</x:v>
      </x:c>
      <x:c r="B9" s="51" t="str">
        <x:v>감자</x:v>
      </x:c>
      <x:c r="C9" s="51" t="str">
        <x:v>보통</x:v>
      </x:c>
      <x:c r="D9" s="42" t="n">
        <x:v>150</x:v>
      </x:c>
      <x:c r="E9" s="43" t="n">
        <x:v>1800</x:v>
      </x:c>
      <x:c r="F9" s="44" t="n">
        <x:f>IF(OR(D9="",E9=""),"",D9*E9)</x:f>
        <x:v>270000</x:v>
      </x:c>
      <x:c r="G9" s="43" t="str">
        <x:v>광주로컬마트</x:v>
      </x:c>
      <x:c r="H9" s="43" t="n">
        <x:v>200000</x:v>
      </x:c>
      <x:c r="I9" s="44" t="n">
        <x:f>IF(F9="","",F9-H9)</x:f>
        <x:v>70000</x:v>
      </x:c>
      <x:c r="J9" s="55" t="str">
        <x:f>IF(F9="","",IF(I9&lt;=0,"완료","미수"))</x:f>
        <x:v>미수</x:v>
      </x:c>
      <x:c r="K9" s="51" t="str">
        <x:v>계좌이체</x:v>
      </x:c>
      <x:c r="L9" s="23" t="str">
        <x:v>일부 미수</x:v>
      </x:c>
    </x:row>
    <x:row r="10" ht="22" customHeight="1">
      <x:c r="A10" s="50" t="n">
        <x:v>46271</x:v>
      </x:c>
      <x:c r="B10" s="51" t="str">
        <x:v>파프리카</x:v>
      </x:c>
      <x:c r="C10" s="51" t="str">
        <x:v>상</x:v>
      </x:c>
      <x:c r="D10" s="42" t="n">
        <x:v>60</x:v>
      </x:c>
      <x:c r="E10" s="43" t="n">
        <x:v>6200</x:v>
      </x:c>
      <x:c r="F10" s="44" t="n">
        <x:f>IF(OR(D10="",E10=""),"",D10*E10)</x:f>
        <x:v>372000</x:v>
      </x:c>
      <x:c r="G10" s="43" t="str">
        <x:v>한마음식당</x:v>
      </x:c>
      <x:c r="H10" s="43" t="n">
        <x:v>372000</x:v>
      </x:c>
      <x:c r="I10" s="44" t="n">
        <x:f>IF(F10="","",F10-H10)</x:f>
        <x:v>0</x:v>
      </x:c>
      <x:c r="J10" s="55" t="str">
        <x:f>IF(F10="","",IF(I10&lt;=0,"완료","미수"))</x:f>
        <x:v>완료</x:v>
      </x:c>
      <x:c r="K10" s="51" t="str">
        <x:v>계좌이체</x:v>
      </x:c>
      <x:c r="L10" s="23" t="str"/>
    </x:row>
    <x:row r="11" ht="22" customHeight="1">
      <x:c r="A11" s="50" t="n">
        <x:v>46272</x:v>
      </x:c>
      <x:c r="B11" s="51" t="str">
        <x:v>고구마</x:v>
      </x:c>
      <x:c r="C11" s="51" t="str">
        <x:v>상</x:v>
      </x:c>
      <x:c r="D11" s="42" t="n">
        <x:v>100</x:v>
      </x:c>
      <x:c r="E11" s="43" t="n">
        <x:v>3000</x:v>
      </x:c>
      <x:c r="F11" s="44" t="n">
        <x:f>IF(OR(D11="",E11=""),"",D11*E11)</x:f>
        <x:v>300000</x:v>
      </x:c>
      <x:c r="G11" s="43" t="str">
        <x:v>직거래장터</x:v>
      </x:c>
      <x:c r="H11" s="43" t="n">
        <x:v>300000</x:v>
      </x:c>
      <x:c r="I11" s="44" t="n">
        <x:f>IF(F11="","",F11-H11)</x:f>
        <x:v>0</x:v>
      </x:c>
      <x:c r="J11" s="55" t="str">
        <x:f>IF(F11="","",IF(I11&lt;=0,"완료","미수"))</x:f>
        <x:v>완료</x:v>
      </x:c>
      <x:c r="K11" s="51" t="str">
        <x:v>현금</x:v>
      </x:c>
      <x:c r="L11" s="23" t="str"/>
    </x:row>
    <x:row r="12" ht="22" customHeight="1">
      <x:c r="A12" s="50" t="n">
        <x:v>46274</x:v>
      </x:c>
      <x:c r="B12" s="51" t="str">
        <x:v>토마토</x:v>
      </x:c>
      <x:c r="C12" s="51" t="str">
        <x:v>상</x:v>
      </x:c>
      <x:c r="D12" s="42" t="n">
        <x:v>90</x:v>
      </x:c>
      <x:c r="E12" s="43" t="n">
        <x:v>3800</x:v>
      </x:c>
      <x:c r="F12" s="44" t="n">
        <x:f>IF(OR(D12="",E12=""),"",D12*E12)</x:f>
        <x:v>342000</x:v>
      </x:c>
      <x:c r="G12" s="43" t="str">
        <x:v>농협공판장</x:v>
      </x:c>
      <x:c r="H12" s="43" t="n">
        <x:v>342000</x:v>
      </x:c>
      <x:c r="I12" s="44" t="n">
        <x:f>IF(F12="","",F12-H12)</x:f>
        <x:v>0</x:v>
      </x:c>
      <x:c r="J12" s="55" t="str">
        <x:f>IF(F12="","",IF(I12&lt;=0,"완료","미수"))</x:f>
        <x:v>완료</x:v>
      </x:c>
      <x:c r="K12" s="51" t="str">
        <x:v>계좌이체</x:v>
      </x:c>
      <x:c r="L12" s="23" t="str"/>
    </x:row>
    <x:row r="13" ht="22" customHeight="1">
      <x:c r="A13" s="50" t="n">
        <x:v>46275</x:v>
      </x:c>
      <x:c r="B13" s="51" t="str">
        <x:v>상추</x:v>
      </x:c>
      <x:c r="C13" s="51" t="str">
        <x:v>상</x:v>
      </x:c>
      <x:c r="D13" s="42" t="n">
        <x:v>38</x:v>
      </x:c>
      <x:c r="E13" s="43" t="n">
        <x:v>3700</x:v>
      </x:c>
      <x:c r="F13" s="44" t="n">
        <x:f>IF(OR(D13="",E13=""),"",D13*E13)</x:f>
        <x:v>140600</x:v>
      </x:c>
      <x:c r="G13" s="43" t="str">
        <x:v>광주로컬마트</x:v>
      </x:c>
      <x:c r="H13" s="43" t="n">
        <x:v>140600</x:v>
      </x:c>
      <x:c r="I13" s="44" t="n">
        <x:f>IF(F13="","",F13-H13)</x:f>
        <x:v>0</x:v>
      </x:c>
      <x:c r="J13" s="55" t="str">
        <x:f>IF(F13="","",IF(I13&lt;=0,"완료","미수"))</x:f>
        <x:v>완료</x:v>
      </x:c>
      <x:c r="K13" s="51" t="str">
        <x:v>카드</x:v>
      </x:c>
      <x:c r="L13" s="23" t="str"/>
    </x:row>
    <x:row r="14" ht="22" customHeight="1">
      <x:c r="A14" s="50" t="n">
        <x:v>46276</x:v>
      </x:c>
      <x:c r="B14" s="51" t="str">
        <x:v>오이</x:v>
      </x:c>
      <x:c r="C14" s="51" t="str">
        <x:v>보통</x:v>
      </x:c>
      <x:c r="D14" s="42" t="n">
        <x:v>110</x:v>
      </x:c>
      <x:c r="E14" s="43" t="n">
        <x:v>2400</x:v>
      </x:c>
      <x:c r="F14" s="44" t="n">
        <x:f>IF(OR(D14="",E14=""),"",D14*E14)</x:f>
        <x:v>264000</x:v>
      </x:c>
      <x:c r="G14" s="43" t="str">
        <x:v>직거래장터</x:v>
      </x:c>
      <x:c r="H14" s="43" t="n">
        <x:v>264000</x:v>
      </x:c>
      <x:c r="I14" s="44" t="n">
        <x:f>IF(F14="","",F14-H14)</x:f>
        <x:v>0</x:v>
      </x:c>
      <x:c r="J14" s="55" t="str">
        <x:f>IF(F14="","",IF(I14&lt;=0,"완료","미수"))</x:f>
        <x:v>완료</x:v>
      </x:c>
      <x:c r="K14" s="51" t="str">
        <x:v>현금</x:v>
      </x:c>
      <x:c r="L14" s="23" t="str"/>
    </x:row>
    <x:row r="15" ht="22" customHeight="1">
      <x:c r="A15" s="50" t="n">
        <x:v>46277</x:v>
      </x:c>
      <x:c r="B15" s="51" t="str">
        <x:v>딸기</x:v>
      </x:c>
      <x:c r="C15" s="51" t="str">
        <x:v>상</x:v>
      </x:c>
      <x:c r="D15" s="42" t="n">
        <x:v>28</x:v>
      </x:c>
      <x:c r="E15" s="43" t="n">
        <x:v>10500</x:v>
      </x:c>
      <x:c r="F15" s="44" t="n">
        <x:f>IF(OR(D15="",E15=""),"",D15*E15)</x:f>
        <x:v>294000</x:v>
      </x:c>
      <x:c r="G15" s="43" t="str">
        <x:v>온라인주문</x:v>
      </x:c>
      <x:c r="H15" s="43" t="n">
        <x:v>294000</x:v>
      </x:c>
      <x:c r="I15" s="44" t="n">
        <x:f>IF(F15="","",F15-H15)</x:f>
        <x:v>0</x:v>
      </x:c>
      <x:c r="J15" s="55" t="str">
        <x:f>IF(F15="","",IF(I15&lt;=0,"완료","미수"))</x:f>
        <x:v>완료</x:v>
      </x:c>
      <x:c r="K15" s="51" t="str">
        <x:v>카드</x:v>
      </x:c>
      <x:c r="L15" s="23" t="str">
        <x:v>택배</x:v>
      </x:c>
    </x:row>
    <x:row r="16" ht="22" customHeight="1">
      <x:c r="A16" s="50" t="n">
        <x:v>46278</x:v>
      </x:c>
      <x:c r="B16" s="51" t="str">
        <x:v>감자</x:v>
      </x:c>
      <x:c r="C16" s="51" t="str">
        <x:v>상</x:v>
      </x:c>
      <x:c r="D16" s="42" t="n">
        <x:v>130</x:v>
      </x:c>
      <x:c r="E16" s="43" t="n">
        <x:v>2100</x:v>
      </x:c>
      <x:c r="F16" s="44" t="n">
        <x:f>IF(OR(D16="",E16=""),"",D16*E16)</x:f>
        <x:v>273000</x:v>
      </x:c>
      <x:c r="G16" s="43" t="str">
        <x:v>한마음식당</x:v>
      </x:c>
      <x:c r="H16" s="43" t="n">
        <x:v>273000</x:v>
      </x:c>
      <x:c r="I16" s="44" t="n">
        <x:f>IF(F16="","",F16-H16)</x:f>
        <x:v>0</x:v>
      </x:c>
      <x:c r="J16" s="55" t="str">
        <x:f>IF(F16="","",IF(I16&lt;=0,"완료","미수"))</x:f>
        <x:v>완료</x:v>
      </x:c>
      <x:c r="K16" s="51" t="str">
        <x:v>계좌이체</x:v>
      </x:c>
      <x:c r="L16" s="23" t="str"/>
    </x:row>
    <x:row r="17" ht="22" customHeight="1">
      <x:c r="A17" s="50" t="n">
        <x:v>46279</x:v>
      </x:c>
      <x:c r="B17" s="51" t="str">
        <x:v>파프리카</x:v>
      </x:c>
      <x:c r="C17" s="51" t="str">
        <x:v>특</x:v>
      </x:c>
      <x:c r="D17" s="42" t="n">
        <x:v>55</x:v>
      </x:c>
      <x:c r="E17" s="43" t="n">
        <x:v>6800</x:v>
      </x:c>
      <x:c r="F17" s="44" t="n">
        <x:f>IF(OR(D17="",E17=""),"",D17*E17)</x:f>
        <x:v>374000</x:v>
      </x:c>
      <x:c r="G17" s="43" t="str">
        <x:v>광주로컬마트</x:v>
      </x:c>
      <x:c r="H17" s="43" t="n">
        <x:v>300000</x:v>
      </x:c>
      <x:c r="I17" s="44" t="n">
        <x:f>IF(F17="","",F17-H17)</x:f>
        <x:v>74000</x:v>
      </x:c>
      <x:c r="J17" s="55" t="str">
        <x:f>IF(F17="","",IF(I17&lt;=0,"완료","미수"))</x:f>
        <x:v>미수</x:v>
      </x:c>
      <x:c r="K17" s="51" t="str">
        <x:v>계좌이체</x:v>
      </x:c>
      <x:c r="L17" s="23" t="str">
        <x:v>일부 미수</x:v>
      </x:c>
    </x:row>
    <x:row r="18" ht="22" customHeight="1">
      <x:c r="A18" s="50" t="n">
        <x:v>46280</x:v>
      </x:c>
      <x:c r="B18" s="51" t="str">
        <x:v>고구마</x:v>
      </x:c>
      <x:c r="C18" s="51" t="str">
        <x:v>보통</x:v>
      </x:c>
      <x:c r="D18" s="42" t="n">
        <x:v>140</x:v>
      </x:c>
      <x:c r="E18" s="43" t="n">
        <x:v>2500</x:v>
      </x:c>
      <x:c r="F18" s="44" t="n">
        <x:f>IF(OR(D18="",E18=""),"",D18*E18)</x:f>
        <x:v>350000</x:v>
      </x:c>
      <x:c r="G18" s="43" t="str">
        <x:v>농협공판장</x:v>
      </x:c>
      <x:c r="H18" s="43" t="n">
        <x:v>350000</x:v>
      </x:c>
      <x:c r="I18" s="44" t="n">
        <x:f>IF(F18="","",F18-H18)</x:f>
        <x:v>0</x:v>
      </x:c>
      <x:c r="J18" s="55" t="str">
        <x:f>IF(F18="","",IF(I18&lt;=0,"완료","미수"))</x:f>
        <x:v>완료</x:v>
      </x:c>
      <x:c r="K18" s="51" t="str">
        <x:v>계좌이체</x:v>
      </x:c>
      <x:c r="L18" s="23" t="str"/>
    </x:row>
    <x:row r="19" ht="22" customHeight="1">
      <x:c r="A19" s="50" t="n">
        <x:v>46282</x:v>
      </x:c>
      <x:c r="B19" s="51" t="str">
        <x:v>토마토</x:v>
      </x:c>
      <x:c r="C19" s="51" t="str">
        <x:v>특</x:v>
      </x:c>
      <x:c r="D19" s="42" t="n">
        <x:v>105</x:v>
      </x:c>
      <x:c r="E19" s="43" t="n">
        <x:v>4300</x:v>
      </x:c>
      <x:c r="F19" s="44" t="n">
        <x:f>IF(OR(D19="",E19=""),"",D19*E19)</x:f>
        <x:v>451500</x:v>
      </x:c>
      <x:c r="G19" s="43" t="str">
        <x:v>온라인주문</x:v>
      </x:c>
      <x:c r="H19" s="43" t="n">
        <x:v>451500</x:v>
      </x:c>
      <x:c r="I19" s="44" t="n">
        <x:f>IF(F19="","",F19-H19)</x:f>
        <x:v>0</x:v>
      </x:c>
      <x:c r="J19" s="55" t="str">
        <x:f>IF(F19="","",IF(I19&lt;=0,"완료","미수"))</x:f>
        <x:v>완료</x:v>
      </x:c>
      <x:c r="K19" s="51" t="str">
        <x:v>카드</x:v>
      </x:c>
      <x:c r="L19" s="23" t="str"/>
    </x:row>
    <x:row r="20" ht="22" customHeight="1">
      <x:c r="A20" s="50" t="n">
        <x:v>46283</x:v>
      </x:c>
      <x:c r="B20" s="51" t="str">
        <x:v>상추</x:v>
      </x:c>
      <x:c r="C20" s="51" t="str">
        <x:v>보통</x:v>
      </x:c>
      <x:c r="D20" s="42" t="n">
        <x:v>50</x:v>
      </x:c>
      <x:c r="E20" s="43" t="n">
        <x:v>3100</x:v>
      </x:c>
      <x:c r="F20" s="44" t="n">
        <x:f>IF(OR(D20="",E20=""),"",D20*E20)</x:f>
        <x:v>155000</x:v>
      </x:c>
      <x:c r="G20" s="43" t="str">
        <x:v>직거래장터</x:v>
      </x:c>
      <x:c r="H20" s="43" t="n">
        <x:v>155000</x:v>
      </x:c>
      <x:c r="I20" s="44" t="n">
        <x:f>IF(F20="","",F20-H20)</x:f>
        <x:v>0</x:v>
      </x:c>
      <x:c r="J20" s="55" t="str">
        <x:f>IF(F20="","",IF(I20&lt;=0,"완료","미수"))</x:f>
        <x:v>완료</x:v>
      </x:c>
      <x:c r="K20" s="51" t="str">
        <x:v>현금</x:v>
      </x:c>
      <x:c r="L20" s="23" t="str"/>
    </x:row>
    <x:row r="21" ht="22" customHeight="1">
      <x:c r="A21" s="50" t="n">
        <x:v>46284</x:v>
      </x:c>
      <x:c r="B21" s="51" t="str">
        <x:v>오이</x:v>
      </x:c>
      <x:c r="C21" s="51" t="str">
        <x:v>상</x:v>
      </x:c>
      <x:c r="D21" s="42" t="n">
        <x:v>95</x:v>
      </x:c>
      <x:c r="E21" s="43" t="n">
        <x:v>2900</x:v>
      </x:c>
      <x:c r="F21" s="44" t="n">
        <x:f>IF(OR(D21="",E21=""),"",D21*E21)</x:f>
        <x:v>275500</x:v>
      </x:c>
      <x:c r="G21" s="43" t="str">
        <x:v>광주로컬마트</x:v>
      </x:c>
      <x:c r="H21" s="43" t="n">
        <x:v>275500</x:v>
      </x:c>
      <x:c r="I21" s="44" t="n">
        <x:f>IF(F21="","",F21-H21)</x:f>
        <x:v>0</x:v>
      </x:c>
      <x:c r="J21" s="55" t="str">
        <x:f>IF(F21="","",IF(I21&lt;=0,"완료","미수"))</x:f>
        <x:v>완료</x:v>
      </x:c>
      <x:c r="K21" s="51" t="str">
        <x:v>계좌이체</x:v>
      </x:c>
      <x:c r="L21" s="23" t="str"/>
    </x:row>
    <x:row r="22" ht="22" customHeight="1">
      <x:c r="A22" s="50" t="n">
        <x:v>46285</x:v>
      </x:c>
      <x:c r="B22" s="51" t="str">
        <x:v>딸기</x:v>
      </x:c>
      <x:c r="C22" s="51" t="str">
        <x:v>특</x:v>
      </x:c>
      <x:c r="D22" s="42" t="n">
        <x:v>32</x:v>
      </x:c>
      <x:c r="E22" s="43" t="n">
        <x:v>12500</x:v>
      </x:c>
      <x:c r="F22" s="44" t="n">
        <x:f>IF(OR(D22="",E22=""),"",D22*E22)</x:f>
        <x:v>400000</x:v>
      </x:c>
      <x:c r="G22" s="43" t="str">
        <x:v>온라인주문</x:v>
      </x:c>
      <x:c r="H22" s="43" t="n">
        <x:v>300000</x:v>
      </x:c>
      <x:c r="I22" s="44" t="n">
        <x:f>IF(F22="","",F22-H22)</x:f>
        <x:v>100000</x:v>
      </x:c>
      <x:c r="J22" s="55" t="str">
        <x:f>IF(F22="","",IF(I22&lt;=0,"완료","미수"))</x:f>
        <x:v>미수</x:v>
      </x:c>
      <x:c r="K22" s="51" t="str">
        <x:v>카드</x:v>
      </x:c>
      <x:c r="L22" s="23" t="str">
        <x:v>일부 미수</x:v>
      </x:c>
    </x:row>
    <x:row r="23" ht="22" customHeight="1">
      <x:c r="A23" s="50" t="n">
        <x:v>46286</x:v>
      </x:c>
      <x:c r="B23" s="51" t="str">
        <x:v>감자</x:v>
      </x:c>
      <x:c r="C23" s="51" t="str">
        <x:v>보통</x:v>
      </x:c>
      <x:c r="D23" s="42" t="n">
        <x:v>170</x:v>
      </x:c>
      <x:c r="E23" s="43" t="n">
        <x:v>1750</x:v>
      </x:c>
      <x:c r="F23" s="44" t="n">
        <x:f>IF(OR(D23="",E23=""),"",D23*E23)</x:f>
        <x:v>297500</x:v>
      </x:c>
      <x:c r="G23" s="43" t="str">
        <x:v>농협공판장</x:v>
      </x:c>
      <x:c r="H23" s="43" t="n">
        <x:v>297500</x:v>
      </x:c>
      <x:c r="I23" s="44" t="n">
        <x:f>IF(F23="","",F23-H23)</x:f>
        <x:v>0</x:v>
      </x:c>
      <x:c r="J23" s="55" t="str">
        <x:f>IF(F23="","",IF(I23&lt;=0,"완료","미수"))</x:f>
        <x:v>완료</x:v>
      </x:c>
      <x:c r="K23" s="51" t="str">
        <x:v>계좌이체</x:v>
      </x:c>
      <x:c r="L23" s="23" t="str"/>
    </x:row>
    <x:row r="24" ht="22" customHeight="1">
      <x:c r="A24" s="50" t="n">
        <x:v>46287</x:v>
      </x:c>
      <x:c r="B24" s="51" t="str">
        <x:v>파프리카</x:v>
      </x:c>
      <x:c r="C24" s="51" t="str">
        <x:v>상</x:v>
      </x:c>
      <x:c r="D24" s="42" t="n">
        <x:v>70</x:v>
      </x:c>
      <x:c r="E24" s="43" t="n">
        <x:v>6100</x:v>
      </x:c>
      <x:c r="F24" s="44" t="n">
        <x:f>IF(OR(D24="",E24=""),"",D24*E24)</x:f>
        <x:v>427000</x:v>
      </x:c>
      <x:c r="G24" s="43" t="str">
        <x:v>한마음식당</x:v>
      </x:c>
      <x:c r="H24" s="43" t="n">
        <x:v>427000</x:v>
      </x:c>
      <x:c r="I24" s="44" t="n">
        <x:f>IF(F24="","",F24-H24)</x:f>
        <x:v>0</x:v>
      </x:c>
      <x:c r="J24" s="55" t="str">
        <x:f>IF(F24="","",IF(I24&lt;=0,"완료","미수"))</x:f>
        <x:v>완료</x:v>
      </x:c>
      <x:c r="K24" s="51" t="str">
        <x:v>계좌이체</x:v>
      </x:c>
      <x:c r="L24" s="23" t="str"/>
    </x:row>
    <x:row r="25" ht="22" customHeight="1">
      <x:c r="A25" s="50" t="n">
        <x:v>46288</x:v>
      </x:c>
      <x:c r="B25" s="51" t="str">
        <x:v>고구마</x:v>
      </x:c>
      <x:c r="C25" s="51" t="str">
        <x:v>상</x:v>
      </x:c>
      <x:c r="D25" s="42" t="n">
        <x:v>125</x:v>
      </x:c>
      <x:c r="E25" s="43" t="n">
        <x:v>3200</x:v>
      </x:c>
      <x:c r="F25" s="44" t="n">
        <x:f>IF(OR(D25="",E25=""),"",D25*E25)</x:f>
        <x:v>400000</x:v>
      </x:c>
      <x:c r="G25" s="43" t="str">
        <x:v>직거래장터</x:v>
      </x:c>
      <x:c r="H25" s="43" t="n">
        <x:v>350000</x:v>
      </x:c>
      <x:c r="I25" s="44" t="n">
        <x:f>IF(F25="","",F25-H25)</x:f>
        <x:v>50000</x:v>
      </x:c>
      <x:c r="J25" s="55" t="str">
        <x:f>IF(F25="","",IF(I25&lt;=0,"완료","미수"))</x:f>
        <x:v>미수</x:v>
      </x:c>
      <x:c r="K25" s="51" t="str">
        <x:v>현금</x:v>
      </x:c>
      <x:c r="L25" s="23" t="str">
        <x:v>일부 미수</x:v>
      </x:c>
    </x:row>
    <x:row r="26" ht="22" customHeight="1">
      <x:c r="A26" s="50" t="n">
        <x:v>46290</x:v>
      </x:c>
      <x:c r="B26" s="51" t="str">
        <x:v>토마토</x:v>
      </x:c>
      <x:c r="C26" s="51" t="str">
        <x:v>보통</x:v>
      </x:c>
      <x:c r="D26" s="42" t="n">
        <x:v>115</x:v>
      </x:c>
      <x:c r="E26" s="43" t="n">
        <x:v>3400</x:v>
      </x:c>
      <x:c r="F26" s="44" t="n">
        <x:f>IF(OR(D26="",E26=""),"",D26*E26)</x:f>
        <x:v>391000</x:v>
      </x:c>
      <x:c r="G26" s="43" t="str">
        <x:v>농협공판장</x:v>
      </x:c>
      <x:c r="H26" s="43" t="n">
        <x:v>391000</x:v>
      </x:c>
      <x:c r="I26" s="44" t="n">
        <x:f>IF(F26="","",F26-H26)</x:f>
        <x:v>0</x:v>
      </x:c>
      <x:c r="J26" s="55" t="str">
        <x:f>IF(F26="","",IF(I26&lt;=0,"완료","미수"))</x:f>
        <x:v>완료</x:v>
      </x:c>
      <x:c r="K26" s="51" t="str">
        <x:v>계좌이체</x:v>
      </x:c>
      <x:c r="L26" s="23" t="str"/>
    </x:row>
    <x:row r="27" ht="22" customHeight="1">
      <x:c r="A27" s="50" t="n">
        <x:v>46291</x:v>
      </x:c>
      <x:c r="B27" s="51" t="str">
        <x:v>상추</x:v>
      </x:c>
      <x:c r="C27" s="51" t="str">
        <x:v>상</x:v>
      </x:c>
      <x:c r="D27" s="42" t="n">
        <x:v>42</x:v>
      </x:c>
      <x:c r="E27" s="43" t="n">
        <x:v>3600</x:v>
      </x:c>
      <x:c r="F27" s="44" t="n">
        <x:f>IF(OR(D27="",E27=""),"",D27*E27)</x:f>
        <x:v>151200</x:v>
      </x:c>
      <x:c r="G27" s="43" t="str">
        <x:v>광주로컬마트</x:v>
      </x:c>
      <x:c r="H27" s="43" t="n">
        <x:v>151200</x:v>
      </x:c>
      <x:c r="I27" s="44" t="n">
        <x:f>IF(F27="","",F27-H27)</x:f>
        <x:v>0</x:v>
      </x:c>
      <x:c r="J27" s="55" t="str">
        <x:f>IF(F27="","",IF(I27&lt;=0,"완료","미수"))</x:f>
        <x:v>완료</x:v>
      </x:c>
      <x:c r="K27" s="51" t="str">
        <x:v>카드</x:v>
      </x:c>
      <x:c r="L27" s="23" t="str"/>
    </x:row>
    <x:row r="28" ht="22" customHeight="1">
      <x:c r="A28" s="50" t="n">
        <x:v>46292</x:v>
      </x:c>
      <x:c r="B28" s="51" t="str">
        <x:v>오이</x:v>
      </x:c>
      <x:c r="C28" s="51" t="str">
        <x:v>상</x:v>
      </x:c>
      <x:c r="D28" s="42" t="n">
        <x:v>88</x:v>
      </x:c>
      <x:c r="E28" s="43" t="n">
        <x:v>3000</x:v>
      </x:c>
      <x:c r="F28" s="44" t="n">
        <x:f>IF(OR(D28="",E28=""),"",D28*E28)</x:f>
        <x:v>264000</x:v>
      </x:c>
      <x:c r="G28" s="43" t="str">
        <x:v>한마음식당</x:v>
      </x:c>
      <x:c r="H28" s="43" t="n">
        <x:v>200000</x:v>
      </x:c>
      <x:c r="I28" s="44" t="n">
        <x:f>IF(F28="","",F28-H28)</x:f>
        <x:v>64000</x:v>
      </x:c>
      <x:c r="J28" s="55" t="str">
        <x:f>IF(F28="","",IF(I28&lt;=0,"완료","미수"))</x:f>
        <x:v>미수</x:v>
      </x:c>
      <x:c r="K28" s="51" t="str">
        <x:v>계좌이체</x:v>
      </x:c>
      <x:c r="L28" s="23" t="str">
        <x:v>일부 미수</x:v>
      </x:c>
    </x:row>
    <x:row r="29" ht="22" customHeight="1">
      <x:c r="A29" s="50" t="n">
        <x:v>46293</x:v>
      </x:c>
      <x:c r="B29" s="51" t="str">
        <x:v>딸기</x:v>
      </x:c>
      <x:c r="C29" s="51" t="str">
        <x:v>상</x:v>
      </x:c>
      <x:c r="D29" s="42" t="n">
        <x:v>30</x:v>
      </x:c>
      <x:c r="E29" s="43" t="n">
        <x:v>11000</x:v>
      </x:c>
      <x:c r="F29" s="44" t="n">
        <x:f>IF(OR(D29="",E29=""),"",D29*E29)</x:f>
        <x:v>330000</x:v>
      </x:c>
      <x:c r="G29" s="43" t="str">
        <x:v>온라인주문</x:v>
      </x:c>
      <x:c r="H29" s="43" t="n">
        <x:v>330000</x:v>
      </x:c>
      <x:c r="I29" s="44" t="n">
        <x:f>IF(F29="","",F29-H29)</x:f>
        <x:v>0</x:v>
      </x:c>
      <x:c r="J29" s="55" t="str">
        <x:f>IF(F29="","",IF(I29&lt;=0,"완료","미수"))</x:f>
        <x:v>완료</x:v>
      </x:c>
      <x:c r="K29" s="51" t="str">
        <x:v>카드</x:v>
      </x:c>
      <x:c r="L29" s="23" t="str">
        <x:v>택배</x:v>
      </x:c>
    </x:row>
    <x:row r="30" ht="22" customHeight="1">
      <x:c r="A30" s="50" t="n">
        <x:v>46294</x:v>
      </x:c>
      <x:c r="B30" s="51" t="str">
        <x:v>감자</x:v>
      </x:c>
      <x:c r="C30" s="51" t="str">
        <x:v>상</x:v>
      </x:c>
      <x:c r="D30" s="42" t="n">
        <x:v>145</x:v>
      </x:c>
      <x:c r="E30" s="43" t="n">
        <x:v>2200</x:v>
      </x:c>
      <x:c r="F30" s="44" t="n">
        <x:f>IF(OR(D30="",E30=""),"",D30*E30)</x:f>
        <x:v>319000</x:v>
      </x:c>
      <x:c r="G30" s="43" t="str">
        <x:v>직거래장터</x:v>
      </x:c>
      <x:c r="H30" s="43" t="n">
        <x:v>319000</x:v>
      </x:c>
      <x:c r="I30" s="44" t="n">
        <x:f>IF(F30="","",F30-H30)</x:f>
        <x:v>0</x:v>
      </x:c>
      <x:c r="J30" s="55" t="str">
        <x:f>IF(F30="","",IF(I30&lt;=0,"완료","미수"))</x:f>
        <x:v>완료</x:v>
      </x:c>
      <x:c r="K30" s="51" t="str">
        <x:v>현금</x:v>
      </x:c>
      <x:c r="L30" s="23" t="str"/>
    </x:row>
    <x:row r="31" ht="22" customHeight="1">
      <x:c r="A31" s="50" t="n">
        <x:v>46295</x:v>
      </x:c>
      <x:c r="B31" s="51" t="str">
        <x:v>파프리카</x:v>
      </x:c>
      <x:c r="C31" s="51" t="str">
        <x:v>특</x:v>
      </x:c>
      <x:c r="D31" s="42" t="n">
        <x:v>65</x:v>
      </x:c>
      <x:c r="E31" s="43" t="n">
        <x:v>7000</x:v>
      </x:c>
      <x:c r="F31" s="44" t="n">
        <x:f>IF(OR(D31="",E31=""),"",D31*E31)</x:f>
        <x:v>455000</x:v>
      </x:c>
      <x:c r="G31" s="43" t="str">
        <x:v>광주로컬마트</x:v>
      </x:c>
      <x:c r="H31" s="43" t="n">
        <x:v>455000</x:v>
      </x:c>
      <x:c r="I31" s="44" t="n">
        <x:f>IF(F31="","",F31-H31)</x:f>
        <x:v>0</x:v>
      </x:c>
      <x:c r="J31" s="55" t="str">
        <x:f>IF(F31="","",IF(I31&lt;=0,"완료","미수"))</x:f>
        <x:v>완료</x:v>
      </x:c>
      <x:c r="K31" s="51" t="str">
        <x:v>계좌이체</x:v>
      </x:c>
      <x:c r="L31" s="23" t="str"/>
    </x:row>
    <x:row r="32" ht="22" customHeight="1">
      <x:c r="A32" s="50"/>
      <x:c r="B32" s="51"/>
      <x:c r="C32" s="51"/>
      <x:c r="D32" s="42"/>
      <x:c r="E32" s="43"/>
      <x:c r="F32" s="44" t="str">
        <x:f>IF(OR(D32="",E32=""),"",D32*E32)</x:f>
      </x:c>
      <x:c r="G32" s="43"/>
      <x:c r="H32" s="43"/>
      <x:c r="I32" s="44" t="str">
        <x:f>IF(F32="","",F32-H32)</x:f>
      </x:c>
      <x:c r="J32" s="55" t="str">
        <x:f>IF(F32="","",IF(I32&lt;=0,"완료","미수"))</x:f>
      </x:c>
      <x:c r="K32" s="51"/>
      <x:c r="L32" s="23"/>
    </x:row>
    <x:row r="33" ht="22" customHeight="1">
      <x:c r="A33" s="50"/>
      <x:c r="B33" s="51"/>
      <x:c r="C33" s="51"/>
      <x:c r="D33" s="42"/>
      <x:c r="E33" s="43"/>
      <x:c r="F33" s="44" t="str">
        <x:f>IF(OR(D33="",E33=""),"",D33*E33)</x:f>
      </x:c>
      <x:c r="G33" s="43"/>
      <x:c r="H33" s="43"/>
      <x:c r="I33" s="44" t="str">
        <x:f>IF(F33="","",F33-H33)</x:f>
      </x:c>
      <x:c r="J33" s="55" t="str">
        <x:f>IF(F33="","",IF(I33&lt;=0,"완료","미수"))</x:f>
      </x:c>
      <x:c r="K33" s="51"/>
      <x:c r="L33" s="23"/>
    </x:row>
    <x:row r="34" ht="22" customHeight="1">
      <x:c r="A34" s="50"/>
      <x:c r="B34" s="51"/>
      <x:c r="C34" s="51"/>
      <x:c r="D34" s="42"/>
      <x:c r="E34" s="43"/>
      <x:c r="F34" s="44" t="str">
        <x:f>IF(OR(D34="",E34=""),"",D34*E34)</x:f>
      </x:c>
      <x:c r="G34" s="43"/>
      <x:c r="H34" s="43"/>
      <x:c r="I34" s="44" t="str">
        <x:f>IF(F34="","",F34-H34)</x:f>
      </x:c>
      <x:c r="J34" s="55" t="str">
        <x:f>IF(F34="","",IF(I34&lt;=0,"완료","미수"))</x:f>
      </x:c>
      <x:c r="K34" s="51"/>
      <x:c r="L34" s="23"/>
    </x:row>
    <x:row r="35" ht="22" customHeight="1">
      <x:c r="A35" s="50"/>
      <x:c r="B35" s="51"/>
      <x:c r="C35" s="51"/>
      <x:c r="D35" s="42"/>
      <x:c r="E35" s="43"/>
      <x:c r="F35" s="44" t="str">
        <x:f>IF(OR(D35="",E35=""),"",D35*E35)</x:f>
      </x:c>
      <x:c r="G35" s="43"/>
      <x:c r="H35" s="43"/>
      <x:c r="I35" s="44" t="str">
        <x:f>IF(F35="","",F35-H35)</x:f>
      </x:c>
      <x:c r="J35" s="55" t="str">
        <x:f>IF(F35="","",IF(I35&lt;=0,"완료","미수"))</x:f>
      </x:c>
      <x:c r="K35" s="51"/>
      <x:c r="L35" s="23"/>
    </x:row>
    <x:row r="36" ht="22" customHeight="1">
      <x:c r="A36" s="50"/>
      <x:c r="B36" s="51"/>
      <x:c r="C36" s="51"/>
      <x:c r="D36" s="42"/>
      <x:c r="E36" s="43"/>
      <x:c r="F36" s="44" t="str">
        <x:f>IF(OR(D36="",E36=""),"",D36*E36)</x:f>
      </x:c>
      <x:c r="G36" s="43"/>
      <x:c r="H36" s="43"/>
      <x:c r="I36" s="44" t="str">
        <x:f>IF(F36="","",F36-H36)</x:f>
      </x:c>
      <x:c r="J36" s="55" t="str">
        <x:f>IF(F36="","",IF(I36&lt;=0,"완료","미수"))</x:f>
      </x:c>
      <x:c r="K36" s="51"/>
      <x:c r="L36" s="23"/>
    </x:row>
    <x:row r="37" ht="22" customHeight="1">
      <x:c r="A37" s="52"/>
      <x:c r="B37" s="53"/>
      <x:c r="C37" s="53"/>
      <x:c r="D37" s="45"/>
      <x:c r="E37" s="46"/>
      <x:c r="F37" s="47" t="str">
        <x:f>IF(OR(D37="",E37=""),"",D37*E37)</x:f>
      </x:c>
      <x:c r="G37" s="46"/>
      <x:c r="H37" s="46"/>
      <x:c r="I37" s="47" t="str">
        <x:f>IF(F37="","",F37-H37)</x:f>
      </x:c>
      <x:c r="J37" s="56" t="str">
        <x:f>IF(F37="","",IF(I37&lt;=0,"완료","미수"))</x:f>
      </x:c>
      <x:c r="K37" s="53"/>
      <x:c r="L37" s="25"/>
    </x:row>
  </x:sheetData>
  <x:conditionalFormatting sqref="I5:I37">
    <x:cfRule type="cellIs" dxfId="0" priority="1" operator="greaterThan">
      <x:formula>0</x:formula>
    </x:cfRule>
  </x:conditionalFormatting>
  <x:conditionalFormatting sqref="J5:J37">
    <x:cfRule type="containsText" dxfId="1" priority="2" operator="containsText" text="미수"/>
  </x:conditionalFormatting>
  <x:dataValidations count="3">
    <x:dataValidation type="list" sqref="B5:B37">
      <x:formula1>"토마토,딸기,오이,상추,파프리카,감자,고구마"</x:formula1>
    </x:dataValidation>
    <x:dataValidation type="list" sqref="C5:C37">
      <x:formula1>"특,상,보통"</x:formula1>
    </x:dataValidation>
    <x:dataValidation type="list" sqref="K5:K37">
      <x:formula1>"현금,카드,계좌이체"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b9da8ab82849d8"/>
  </x:tableParts>
</x:worksheet>
</file>