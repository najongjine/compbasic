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061379cbc34d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매출매입_실습" sheetId="1" r:id="Rf21b564660a04d83"/>
    <x:sheet xmlns:r="http://schemas.openxmlformats.org/officeDocument/2006/relationships" name="02_완성예시" sheetId="2" r:id="Rdceb31fbd8fb4361"/>
    <x:sheet xmlns:r="http://schemas.openxmlformats.org/officeDocument/2006/relationships" name="03_월별집계" sheetId="3" r:id="Rb8b035622f814b04"/>
    <x:sheet xmlns:r="http://schemas.openxmlformats.org/officeDocument/2006/relationships" name="04_실습안내" sheetId="4" r:id="R5fb3432f87b143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&quot;원&quot;"/>
  </x:numFmts>
  <x:fonts count="6">
    <x:font>
      <x:sz val="11"/>
      <x:name val="Carlito"/>
    </x:font>
    <x:font>
      <x:b/>
      <x:sz val="17"/>
      <x:color rgb="FFFFFFFF"/>
      <x:name val="Carlito"/>
    </x:font>
    <x:font>
      <x:sz val="11"/>
      <x:color rgb="FF183348"/>
      <x:name val="Carlito"/>
    </x:font>
    <x:font>
      <x:b/>
      <x:sz val="11"/>
      <x:color rgb="FFFFFFFF"/>
      <x:name val="Carlito"/>
    </x:font>
    <x:font>
      <x:b/>
      <x:sz val="11"/>
      <x:color rgb="FF183348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83348"/>
      </x:patternFill>
    </x:fill>
    <x:fill>
      <x:patternFill patternType="solid">
        <x:fgColor rgb="FFE8EDF2"/>
      </x:patternFill>
    </x:fill>
    <x:fill>
      <x:patternFill patternType="solid">
        <x:fgColor rgb="FF117F86"/>
      </x:patternFill>
    </x:fill>
    <x:fill>
      <x:patternFill patternType="solid">
        <x:fgColor rgb="FFE8F6F6"/>
      </x:patternFill>
    </x:fill>
    <x:fill>
      <x:patternFill patternType="solid">
        <x:fgColor rgb="FFDCE8F0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5" borderId="0" xfId="0" applyNumberFormat="1" applyFont="1" applyFill="1" applyBorder="1"/>
    <x:xf numFmtId="201" fontId="0" fillId="5" borderId="1" xfId="0" applyNumberFormat="1" applyFont="1" applyFill="1" applyBorder="1"/>
    <x:xf numFmtId="0" fontId="0" fillId="6" borderId="0" xfId="0" applyNumberFormat="1" applyFont="1" applyFill="1" applyBorder="1"/>
    <x:xf numFmtId="201" fontId="0" fillId="6" borderId="0" xfId="0" applyNumberFormat="1" applyFont="1" applyFill="1" applyBorder="1"/>
    <x:xf numFmtId="0" fontId="4" fillId="6" borderId="0" xfId="0" applyNumberFormat="1" applyFont="1" applyFill="1" applyBorder="1"/>
    <x:xf numFmtId="201" fontId="4" fillId="6" borderId="0" xfId="0" applyNumberFormat="1" applyFont="1" applyFill="1" applyBorder="1"/>
    <x:xf numFmtId="0" fontId="0" fillId="6" borderId="1" xfId="0" applyNumberFormat="1" applyFont="1" applyFill="1" applyBorder="1"/>
    <x:xf numFmtId="201" fontId="0" fillId="6" borderId="1" xfId="0" applyNumberFormat="1" applyFont="1" applyFill="1" applyBorder="1"/>
    <x:xf numFmtId="0" fontId="4" fillId="6" borderId="1" xfId="0" applyNumberFormat="1" applyFont="1" applyFill="1" applyBorder="1"/>
    <x:xf numFmtId="201" fontId="4" fillId="6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A61C1C"/>
      </x:font>
      <x:fill>
        <x:patternFill patternType="solid">
          <x:bgColor rgb="FFFCE5E5"/>
        </x:patternFill>
      </x:fill>
    </x:dxf>
    <x:dxf>
      <x:font>
        <x:b/>
        <x:color rgb="FFA61C1C"/>
      </x:font>
      <x:fill>
        <x:patternFill patternType="solid">
          <x:bgColor rgb="FFFCE5E5"/>
        </x:patternFill>
      </x:fill>
    </x:dxf>
    <x:dxf>
      <x:fill>
        <x:patternFill patternType="solid">
          <x:bgColor rgb="FFFCE5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fde7d1dd444fc9" /><Relationship Type="http://schemas.openxmlformats.org/officeDocument/2006/relationships/theme" Target="/xl/theme/theme1.xml" Id="R7b1273fe360e4116" /><Relationship Type="http://schemas.openxmlformats.org/officeDocument/2006/relationships/sharedStrings" Target="/xl/sharedStrings.xml" Id="R2012863de73b49f8" /><Relationship Type="http://schemas.openxmlformats.org/officeDocument/2006/relationships/worksheet" Target="/xl/worksheets/sheet1.xml" Id="Rf21b564660a04d83" /><Relationship Type="http://schemas.openxmlformats.org/officeDocument/2006/relationships/worksheet" Target="/xl/worksheets/sheet2.xml" Id="Rdceb31fbd8fb4361" /><Relationship Type="http://schemas.openxmlformats.org/officeDocument/2006/relationships/worksheet" Target="/xl/worksheets/sheet3.xml" Id="Rb8b035622f814b04" /><Relationship Type="http://schemas.openxmlformats.org/officeDocument/2006/relationships/worksheet" Target="/xl/worksheets/sheet4.xml" Id="R5fb3432f87b1430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eabdccb188d4ff8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매출</c:v>
          </c:tx>
          <c:cat>
            <c:strRef>
              <c:f>'03_월별집계'!$A$6:$A$15</c:f>
              <c:strCache>
                <c:ptCount val="0"/>
              </c:strCache>
            </c:strRef>
          </c:cat>
          <c:val>
            <c:numRef>
              <c:f>'03_월별집계'!$B$6:$B$15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매입</c:v>
          </c:tx>
          <c:cat>
            <c:strRef>
              <c:f>'03_월별집계'!$A$6:$A$15</c:f>
              <c:strCache>
                <c:ptCount val="0"/>
              </c:strCache>
            </c:strRef>
          </c:cat>
          <c:val>
            <c:numRef>
              <c:f>'03_월별집계'!$C$6:$C$15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19</xdr:row>
      <xdr:rowOff>0</xdr:rowOff>
    </xdr:from>
    <xdr:to>
      <xdr:col>10</xdr:col>
      <xdr:colOff>0</xdr:colOff>
      <xdr:row>38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eabdccb188d4ff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alesPractice" displayName="SalesPractice" ref="A5:M85" headerRowCount="1" totalsRowCount="0" totalsRowShown="0">
  <x:tableColumns count="13">
    <x:tableColumn id="1" name="거래일자"/>
    <x:tableColumn id="2" name="거래번호"/>
    <x:tableColumn id="3" name="구분"/>
    <x:tableColumn id="4" name="거래처"/>
    <x:tableColumn id="5" name="품목"/>
    <x:tableColumn id="6" name="수량"/>
    <x:tableColumn id="7" name="단가"/>
    <x:tableColumn id="8" name="결제상태"/>
    <x:tableColumn id="9" name="비고"/>
    <x:tableColumn id="10" name="공급가액"/>
    <x:tableColumn id="11" name="부가세"/>
    <x:tableColumn id="12" name="합계금액"/>
    <x:tableColumn id="13" name="미결제금액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alesAnswer" displayName="SalesAnswer" ref="A5:M85" headerRowCount="1" totalsRowCount="0" totalsRowShown="0">
  <x:tableColumns count="13">
    <x:tableColumn id="1" name="거래일자"/>
    <x:tableColumn id="2" name="거래번호"/>
    <x:tableColumn id="3" name="구분"/>
    <x:tableColumn id="4" name="거래처"/>
    <x:tableColumn id="5" name="품목"/>
    <x:tableColumn id="6" name="수량"/>
    <x:tableColumn id="7" name="단가"/>
    <x:tableColumn id="8" name="결제상태"/>
    <x:tableColumn id="9" name="비고"/>
    <x:tableColumn id="10" name="공급가액"/>
    <x:tableColumn id="11" name="부가세"/>
    <x:tableColumn id="12" name="합계금액"/>
    <x:tableColumn id="13" name="미결제금액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20ae5719cc3492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3b2890ca2b5451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772c68926c6146cd" /></Relationships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3" hidden="0" customWidth="1"/>
    <x:col min="3" max="3" width="11" hidden="0" customWidth="1"/>
    <x:col min="4" max="4" width="18" hidden="0" customWidth="1"/>
    <x:col min="5" max="5" width="20" hidden="0" customWidth="1"/>
    <x:col min="6" max="6" width="10" hidden="0" customWidth="1"/>
    <x:col min="7" max="7" width="14" hidden="0" customWidth="1"/>
    <x:col min="8" max="8" width="14" hidden="0" customWidth="1"/>
    <x:col min="9" max="9" width="14" hidden="0" customWidth="1"/>
    <x:col min="10" max="10" width="17" hidden="0" customWidth="1"/>
    <x:col min="11" max="11" width="15" hidden="0" customWidth="1"/>
    <x:col min="12" max="12" width="18" hidden="0" customWidth="1"/>
    <x:col min="13" max="13" width="18" hidden="0" customWidth="1"/>
  </x:cols>
  <x:sheetData>
    <x:row r="1" ht="25" customHeight="1">
      <x:c r="A1" s="3" t="str">
        <x:v>매출·매입 거래관리 원장  |  실습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 ht="26" customHeight="1">
      <x:c r="A3" s="7" t="str">
        <x:v>입력자료: 2026년 가상거래 80건 | J~M열을 계산하고 미수·미지급 거래를 확인합니다.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</x:row>
    <x:row r="5" ht="30" customHeight="1">
      <x:c r="A5" s="12" t="str">
        <x:v>거래일자</x:v>
      </x:c>
      <x:c r="B5" s="12" t="str">
        <x:v>거래번호</x:v>
      </x:c>
      <x:c r="C5" s="12" t="str">
        <x:v>구분</x:v>
      </x:c>
      <x:c r="D5" s="12" t="str">
        <x:v>거래처</x:v>
      </x:c>
      <x:c r="E5" s="12" t="str">
        <x:v>품목</x:v>
      </x:c>
      <x:c r="F5" s="12" t="str">
        <x:v>수량</x:v>
      </x:c>
      <x:c r="G5" s="12" t="str">
        <x:v>단가</x:v>
      </x:c>
      <x:c r="H5" s="12" t="str">
        <x:v>결제상태</x:v>
      </x:c>
      <x:c r="I5" s="12" t="str">
        <x:v>비고</x:v>
      </x:c>
      <x:c r="J5" s="12" t="str">
        <x:v>공급가액</x:v>
      </x:c>
      <x:c r="K5" s="12" t="str">
        <x:v>부가세</x:v>
      </x:c>
      <x:c r="L5" s="12" t="str">
        <x:v>합계금액</x:v>
      </x:c>
      <x:c r="M5" s="12" t="str">
        <x:v>미결제금액</x:v>
      </x:c>
    </x:row>
    <x:row r="6" ht="22" customHeight="1">
      <x:c r="A6" s="18" t="n">
        <x:v>46023</x:v>
      </x:c>
      <x:c r="B6" t="str">
        <x:v>T0001</x:v>
      </x:c>
      <x:c r="C6" t="str">
        <x:v>매출</x:v>
      </x:c>
      <x:c r="D6" t="str">
        <x:v>그린마트</x:v>
      </x:c>
      <x:c r="E6" t="str">
        <x:v>생수 500ml</x:v>
      </x:c>
      <x:c r="F6" t="n">
        <x:v>10</x:v>
      </x:c>
      <x:c r="G6" s="20" t="n">
        <x:v>850</x:v>
      </x:c>
      <x:c r="H6" t="str">
        <x:v>완료</x:v>
      </x:c>
      <x:c r="I6"/>
      <x:c r="J6" s="22"/>
      <x:c r="K6" s="22"/>
      <x:c r="L6" s="22"/>
      <x:c r="M6" s="22"/>
    </x:row>
    <x:row r="7" ht="22" customHeight="1">
      <x:c r="A7" s="18" t="n">
        <x:v>46023</x:v>
      </x:c>
      <x:c r="B7" t="str">
        <x:v>T0067</x:v>
      </x:c>
      <x:c r="C7" t="str">
        <x:v>매출</x:v>
      </x:c>
      <x:c r="D7" t="str">
        <x:v>푸른유통</x:v>
      </x:c>
      <x:c r="E7" t="str">
        <x:v>감자칩</x:v>
      </x:c>
      <x:c r="F7" t="n">
        <x:v>24</x:v>
      </x:c>
      <x:c r="G7" s="20" t="n">
        <x:v>1950</x:v>
      </x:c>
      <x:c r="H7" t="str">
        <x:v>완료</x:v>
      </x:c>
      <x:c r="I7"/>
      <x:c r="J7" s="22"/>
      <x:c r="K7" s="22"/>
      <x:c r="L7" s="22"/>
      <x:c r="M7" s="22"/>
    </x:row>
    <x:row r="8" ht="22" customHeight="1">
      <x:c r="A8" s="18" t="n">
        <x:v>46027</x:v>
      </x:c>
      <x:c r="B8" t="str">
        <x:v>T0002</x:v>
      </x:c>
      <x:c r="C8" t="str">
        <x:v>매출</x:v>
      </x:c>
      <x:c r="D8" t="str">
        <x:v>하나편의점</x:v>
      </x:c>
      <x:c r="E8" t="str">
        <x:v>감자칩</x:v>
      </x:c>
      <x:c r="F8" t="n">
        <x:v>17</x:v>
      </x:c>
      <x:c r="G8" s="20" t="n">
        <x:v>1950</x:v>
      </x:c>
      <x:c r="H8" t="str">
        <x:v>미수</x:v>
      </x:c>
      <x:c r="I8"/>
      <x:c r="J8" s="22"/>
      <x:c r="K8" s="22"/>
      <x:c r="L8" s="22"/>
      <x:c r="M8" s="22"/>
    </x:row>
    <x:row r="9" ht="22" customHeight="1">
      <x:c r="A9" s="18" t="n">
        <x:v>46027</x:v>
      </x:c>
      <x:c r="B9" t="str">
        <x:v>T0068</x:v>
      </x:c>
      <x:c r="C9" t="str">
        <x:v>매입</x:v>
      </x:c>
      <x:c r="D9" t="str">
        <x:v>정우상사</x:v>
      </x:c>
      <x:c r="E9" t="str">
        <x:v>물티슈 30매</x:v>
      </x:c>
      <x:c r="F9" t="n">
        <x:v>31</x:v>
      </x:c>
      <x:c r="G9" s="20" t="n">
        <x:v>920</x:v>
      </x:c>
      <x:c r="H9" t="str">
        <x:v>완료</x:v>
      </x:c>
      <x:c r="I9"/>
      <x:c r="J9" s="22"/>
      <x:c r="K9" s="22"/>
      <x:c r="L9" s="22"/>
      <x:c r="M9" s="22"/>
    </x:row>
    <x:row r="10" ht="22" customHeight="1">
      <x:c r="A10" s="18" t="n">
        <x:v>46031</x:v>
      </x:c>
      <x:c r="B10" t="str">
        <x:v>T0003</x:v>
      </x:c>
      <x:c r="C10" t="str">
        <x:v>매입</x:v>
      </x:c>
      <x:c r="D10" t="str">
        <x:v>중앙물산</x:v>
      </x:c>
      <x:c r="E10" t="str">
        <x:v>물티슈 30매</x:v>
      </x:c>
      <x:c r="F10" t="n">
        <x:v>24</x:v>
      </x:c>
      <x:c r="G10" s="20" t="n">
        <x:v>920</x:v>
      </x:c>
      <x:c r="H10" t="str">
        <x:v>완료</x:v>
      </x:c>
      <x:c r="I10"/>
      <x:c r="J10" s="22"/>
      <x:c r="K10" s="22"/>
      <x:c r="L10" s="22"/>
      <x:c r="M10" s="22"/>
    </x:row>
    <x:row r="11" ht="22" customHeight="1">
      <x:c r="A11" s="18" t="n">
        <x:v>46031</x:v>
      </x:c>
      <x:c r="B11" t="str">
        <x:v>T0069</x:v>
      </x:c>
      <x:c r="C11" t="str">
        <x:v>매출</x:v>
      </x:c>
      <x:c r="D11" t="str">
        <x:v>미래식품</x:v>
      </x:c>
      <x:c r="E11" t="str">
        <x:v>캔커피</x:v>
      </x:c>
      <x:c r="F11" t="n">
        <x:v>38</x:v>
      </x:c>
      <x:c r="G11" s="20" t="n">
        <x:v>1200</x:v>
      </x:c>
      <x:c r="H11" t="str">
        <x:v>미수</x:v>
      </x:c>
      <x:c r="I11"/>
      <x:c r="J11" s="22"/>
      <x:c r="K11" s="22"/>
      <x:c r="L11" s="22"/>
      <x:c r="M11" s="22"/>
    </x:row>
    <x:row r="12" ht="22" customHeight="1">
      <x:c r="A12" s="18" t="n">
        <x:v>46035</x:v>
      </x:c>
      <x:c r="B12" t="str">
        <x:v>T0004</x:v>
      </x:c>
      <x:c r="C12" t="str">
        <x:v>매출</x:v>
      </x:c>
      <x:c r="D12" t="str">
        <x:v>그린마트</x:v>
      </x:c>
      <x:c r="E12" t="str">
        <x:v>캔커피</x:v>
      </x:c>
      <x:c r="F12" t="n">
        <x:v>31</x:v>
      </x:c>
      <x:c r="G12" s="20" t="n">
        <x:v>1200</x:v>
      </x:c>
      <x:c r="H12" t="str">
        <x:v>완료</x:v>
      </x:c>
      <x:c r="I12"/>
      <x:c r="J12" s="22"/>
      <x:c r="K12" s="22"/>
      <x:c r="L12" s="22"/>
      <x:c r="M12" s="22"/>
    </x:row>
    <x:row r="13" ht="22" customHeight="1">
      <x:c r="A13" s="18" t="n">
        <x:v>46035</x:v>
      </x:c>
      <x:c r="B13" t="str">
        <x:v>T0070</x:v>
      </x:c>
      <x:c r="C13" t="str">
        <x:v>매입</x:v>
      </x:c>
      <x:c r="D13" t="str">
        <x:v>중앙물산</x:v>
      </x:c>
      <x:c r="E13" t="str">
        <x:v>초코바</x:v>
      </x:c>
      <x:c r="F13" t="n">
        <x:v>45</x:v>
      </x:c>
      <x:c r="G13" s="20" t="n">
        <x:v>700</x:v>
      </x:c>
      <x:c r="H13" t="str">
        <x:v>완료</x:v>
      </x:c>
      <x:c r="I13"/>
      <x:c r="J13" s="22"/>
      <x:c r="K13" s="22"/>
      <x:c r="L13" s="22"/>
      <x:c r="M13" s="22"/>
    </x:row>
    <x:row r="14" ht="22" customHeight="1">
      <x:c r="A14" s="18" t="n">
        <x:v>46039</x:v>
      </x:c>
      <x:c r="B14" t="str">
        <x:v>T0005</x:v>
      </x:c>
      <x:c r="C14" t="str">
        <x:v>매입</x:v>
      </x:c>
      <x:c r="D14" t="str">
        <x:v>정우상사</x:v>
      </x:c>
      <x:c r="E14" t="str">
        <x:v>초코바</x:v>
      </x:c>
      <x:c r="F14" t="n">
        <x:v>38</x:v>
      </x:c>
      <x:c r="G14" s="20" t="n">
        <x:v>700</x:v>
      </x:c>
      <x:c r="H14" t="str">
        <x:v>완료</x:v>
      </x:c>
      <x:c r="I14"/>
      <x:c r="J14" s="22"/>
      <x:c r="K14" s="22"/>
      <x:c r="L14" s="22"/>
      <x:c r="M14" s="22"/>
    </x:row>
    <x:row r="15" ht="22" customHeight="1">
      <x:c r="A15" s="18" t="n">
        <x:v>46039</x:v>
      </x:c>
      <x:c r="B15" t="str">
        <x:v>T0071</x:v>
      </x:c>
      <x:c r="C15" t="str">
        <x:v>매출</x:v>
      </x:c>
      <x:c r="D15" t="str">
        <x:v>대성상회</x:v>
      </x:c>
      <x:c r="E15" t="str">
        <x:v>생수 500ml</x:v>
      </x:c>
      <x:c r="F15" t="n">
        <x:v>52</x:v>
      </x:c>
      <x:c r="G15" s="20" t="n">
        <x:v>850</x:v>
      </x:c>
      <x:c r="H15" t="str">
        <x:v>완료</x:v>
      </x:c>
      <x:c r="I15"/>
      <x:c r="J15" s="22"/>
      <x:c r="K15" s="22"/>
      <x:c r="L15" s="22"/>
      <x:c r="M15" s="22"/>
    </x:row>
    <x:row r="16" ht="22" customHeight="1">
      <x:c r="A16" s="18" t="n">
        <x:v>46043</x:v>
      </x:c>
      <x:c r="B16" t="str">
        <x:v>T0006</x:v>
      </x:c>
      <x:c r="C16" t="str">
        <x:v>매출</x:v>
      </x:c>
      <x:c r="D16" t="str">
        <x:v>우리상사</x:v>
      </x:c>
      <x:c r="E16" t="str">
        <x:v>생수 500ml</x:v>
      </x:c>
      <x:c r="F16" t="n">
        <x:v>45</x:v>
      </x:c>
      <x:c r="G16" s="20" t="n">
        <x:v>850</x:v>
      </x:c>
      <x:c r="H16" t="str">
        <x:v>미수</x:v>
      </x:c>
      <x:c r="I16"/>
      <x:c r="J16" s="22"/>
      <x:c r="K16" s="22"/>
      <x:c r="L16" s="22"/>
      <x:c r="M16" s="22"/>
    </x:row>
    <x:row r="17" ht="22" customHeight="1">
      <x:c r="A17" s="18" t="n">
        <x:v>46043</x:v>
      </x:c>
      <x:c r="B17" t="str">
        <x:v>T0072</x:v>
      </x:c>
      <x:c r="C17" t="str">
        <x:v>매출</x:v>
      </x:c>
      <x:c r="D17" t="str">
        <x:v>미래식품</x:v>
      </x:c>
      <x:c r="E17" t="str">
        <x:v>감자칩</x:v>
      </x:c>
      <x:c r="F17" t="n">
        <x:v>59</x:v>
      </x:c>
      <x:c r="G17" s="20" t="n">
        <x:v>1950</x:v>
      </x:c>
      <x:c r="H17" t="str">
        <x:v>미수</x:v>
      </x:c>
      <x:c r="I17"/>
      <x:c r="J17" s="22"/>
      <x:c r="K17" s="22"/>
      <x:c r="L17" s="22"/>
      <x:c r="M17" s="22"/>
    </x:row>
    <x:row r="18" ht="22" customHeight="1">
      <x:c r="A18" s="18" t="n">
        <x:v>46048</x:v>
      </x:c>
      <x:c r="B18" t="str">
        <x:v>T0007</x:v>
      </x:c>
      <x:c r="C18" t="str">
        <x:v>매출</x:v>
      </x:c>
      <x:c r="D18" t="str">
        <x:v>대성상회</x:v>
      </x:c>
      <x:c r="E18" t="str">
        <x:v>감자칩</x:v>
      </x:c>
      <x:c r="F18" t="n">
        <x:v>52</x:v>
      </x:c>
      <x:c r="G18" s="20" t="n">
        <x:v>1950</x:v>
      </x:c>
      <x:c r="H18" t="str">
        <x:v>완료</x:v>
      </x:c>
      <x:c r="I18"/>
      <x:c r="J18" s="22"/>
      <x:c r="K18" s="22"/>
      <x:c r="L18" s="22"/>
      <x:c r="M18" s="22"/>
    </x:row>
    <x:row r="19" ht="22" customHeight="1">
      <x:c r="A19" s="18" t="n">
        <x:v>46048</x:v>
      </x:c>
      <x:c r="B19" t="str">
        <x:v>T0073</x:v>
      </x:c>
      <x:c r="C19" t="str">
        <x:v>매입</x:v>
      </x:c>
      <x:c r="D19" t="str">
        <x:v>한빛유통</x:v>
      </x:c>
      <x:c r="E19" t="str">
        <x:v>물티슈 30매</x:v>
      </x:c>
      <x:c r="F19" t="n">
        <x:v>66</x:v>
      </x:c>
      <x:c r="G19" s="20" t="n">
        <x:v>920</x:v>
      </x:c>
      <x:c r="H19" t="str">
        <x:v>완료</x:v>
      </x:c>
      <x:c r="I19"/>
      <x:c r="J19" s="22"/>
      <x:c r="K19" s="22"/>
      <x:c r="L19" s="22"/>
      <x:c r="M19" s="22"/>
    </x:row>
    <x:row r="20" ht="22" customHeight="1">
      <x:c r="A20" s="18" t="n">
        <x:v>46052</x:v>
      </x:c>
      <x:c r="B20" t="str">
        <x:v>T0008</x:v>
      </x:c>
      <x:c r="C20" t="str">
        <x:v>매입</x:v>
      </x:c>
      <x:c r="D20" t="str">
        <x:v>새롬포장</x:v>
      </x:c>
      <x:c r="E20" t="str">
        <x:v>물티슈 30매</x:v>
      </x:c>
      <x:c r="F20" t="n">
        <x:v>59</x:v>
      </x:c>
      <x:c r="G20" s="20" t="n">
        <x:v>920</x:v>
      </x:c>
      <x:c r="H20" t="str">
        <x:v>완료</x:v>
      </x:c>
      <x:c r="I20"/>
      <x:c r="J20" s="22"/>
      <x:c r="K20" s="22"/>
      <x:c r="L20" s="22"/>
      <x:c r="M20" s="22"/>
    </x:row>
    <x:row r="21" ht="22" customHeight="1">
      <x:c r="A21" s="18" t="n">
        <x:v>46052</x:v>
      </x:c>
      <x:c r="B21" t="str">
        <x:v>T0074</x:v>
      </x:c>
      <x:c r="C21" t="str">
        <x:v>매출</x:v>
      </x:c>
      <x:c r="D21" t="str">
        <x:v>하나편의점</x:v>
      </x:c>
      <x:c r="E21" t="str">
        <x:v>캔커피</x:v>
      </x:c>
      <x:c r="F21" t="n">
        <x:v>73</x:v>
      </x:c>
      <x:c r="G21" s="20" t="n">
        <x:v>1200</x:v>
      </x:c>
      <x:c r="H21" t="str">
        <x:v>완료</x:v>
      </x:c>
      <x:c r="I21"/>
      <x:c r="J21" s="22"/>
      <x:c r="K21" s="22"/>
      <x:c r="L21" s="22"/>
      <x:c r="M21" s="22"/>
    </x:row>
    <x:row r="22" ht="22" customHeight="1">
      <x:c r="A22" s="18" t="n">
        <x:v>46056</x:v>
      </x:c>
      <x:c r="B22" t="str">
        <x:v>T0009</x:v>
      </x:c>
      <x:c r="C22" t="str">
        <x:v>매출</x:v>
      </x:c>
      <x:c r="D22" t="str">
        <x:v>그린마트</x:v>
      </x:c>
      <x:c r="E22" t="str">
        <x:v>캔커피</x:v>
      </x:c>
      <x:c r="F22" t="n">
        <x:v>66</x:v>
      </x:c>
      <x:c r="G22" s="20" t="n">
        <x:v>1200</x:v>
      </x:c>
      <x:c r="H22" t="str">
        <x:v>미수</x:v>
      </x:c>
      <x:c r="I22"/>
      <x:c r="J22" s="22"/>
      <x:c r="K22" s="22"/>
      <x:c r="L22" s="22"/>
      <x:c r="M22" s="22"/>
    </x:row>
    <x:row r="23" ht="22" customHeight="1">
      <x:c r="A23" s="18" t="n">
        <x:v>46056</x:v>
      </x:c>
      <x:c r="B23" t="str">
        <x:v>T0075</x:v>
      </x:c>
      <x:c r="C23" t="str">
        <x:v>매입</x:v>
      </x:c>
      <x:c r="D23" t="str">
        <x:v>중앙물산</x:v>
      </x:c>
      <x:c r="E23" t="str">
        <x:v>초코바</x:v>
      </x:c>
      <x:c r="F23" t="n">
        <x:v>16</x:v>
      </x:c>
      <x:c r="G23" s="20" t="n">
        <x:v>700</x:v>
      </x:c>
      <x:c r="H23" t="str">
        <x:v>완료</x:v>
      </x:c>
      <x:c r="I23"/>
      <x:c r="J23" s="22"/>
      <x:c r="K23" s="22"/>
      <x:c r="L23" s="22"/>
      <x:c r="M23" s="22"/>
    </x:row>
    <x:row r="24" ht="22" customHeight="1">
      <x:c r="A24" s="18" t="n">
        <x:v>46060</x:v>
      </x:c>
      <x:c r="B24" t="str">
        <x:v>T0010</x:v>
      </x:c>
      <x:c r="C24" t="str">
        <x:v>매입</x:v>
      </x:c>
      <x:c r="D24" t="str">
        <x:v>한빛유통</x:v>
      </x:c>
      <x:c r="E24" t="str">
        <x:v>초코바</x:v>
      </x:c>
      <x:c r="F24" t="n">
        <x:v>73</x:v>
      </x:c>
      <x:c r="G24" s="20" t="n">
        <x:v>700</x:v>
      </x:c>
      <x:c r="H24" t="str">
        <x:v>완료</x:v>
      </x:c>
      <x:c r="I24"/>
      <x:c r="J24" s="22"/>
      <x:c r="K24" s="22"/>
      <x:c r="L24" s="22"/>
      <x:c r="M24" s="22"/>
    </x:row>
    <x:row r="25" ht="22" customHeight="1">
      <x:c r="A25" s="18" t="n">
        <x:v>46060</x:v>
      </x:c>
      <x:c r="B25" t="str">
        <x:v>T0076</x:v>
      </x:c>
      <x:c r="C25" t="str">
        <x:v>매출</x:v>
      </x:c>
      <x:c r="D25" t="str">
        <x:v>그린마트</x:v>
      </x:c>
      <x:c r="E25" t="str">
        <x:v>생수 500ml</x:v>
      </x:c>
      <x:c r="F25" t="n">
        <x:v>23</x:v>
      </x:c>
      <x:c r="G25" s="20" t="n">
        <x:v>850</x:v>
      </x:c>
      <x:c r="H25" t="str">
        <x:v>미수</x:v>
      </x:c>
      <x:c r="I25"/>
      <x:c r="J25" s="22"/>
      <x:c r="K25" s="22"/>
      <x:c r="L25" s="22"/>
      <x:c r="M25" s="22"/>
    </x:row>
    <x:row r="26" ht="22" customHeight="1">
      <x:c r="A26" s="18" t="n">
        <x:v>46064</x:v>
      </x:c>
      <x:c r="B26" t="str">
        <x:v>T0011</x:v>
      </x:c>
      <x:c r="C26" t="str">
        <x:v>매출</x:v>
      </x:c>
      <x:c r="D26" t="str">
        <x:v>푸른유통</x:v>
      </x:c>
      <x:c r="E26" t="str">
        <x:v>생수 500ml</x:v>
      </x:c>
      <x:c r="F26" t="n">
        <x:v>16</x:v>
      </x:c>
      <x:c r="G26" s="20" t="n">
        <x:v>850</x:v>
      </x:c>
      <x:c r="H26" t="str">
        <x:v>완료</x:v>
      </x:c>
      <x:c r="I26"/>
      <x:c r="J26" s="22"/>
      <x:c r="K26" s="22"/>
      <x:c r="L26" s="22"/>
      <x:c r="M26" s="22"/>
    </x:row>
    <x:row r="27" ht="22" customHeight="1">
      <x:c r="A27" s="18" t="n">
        <x:v>46064</x:v>
      </x:c>
      <x:c r="B27" t="str">
        <x:v>T0077</x:v>
      </x:c>
      <x:c r="C27" t="str">
        <x:v>매출</x:v>
      </x:c>
      <x:c r="D27" t="str">
        <x:v>미래식품</x:v>
      </x:c>
      <x:c r="E27" t="str">
        <x:v>감자칩</x:v>
      </x:c>
      <x:c r="F27" t="n">
        <x:v>30</x:v>
      </x:c>
      <x:c r="G27" s="20" t="n">
        <x:v>1950</x:v>
      </x:c>
      <x:c r="H27" t="str">
        <x:v>완료</x:v>
      </x:c>
      <x:c r="I27"/>
      <x:c r="J27" s="22"/>
      <x:c r="K27" s="22"/>
      <x:c r="L27" s="22"/>
      <x:c r="M27" s="22"/>
    </x:row>
    <x:row r="28" ht="22" customHeight="1">
      <x:c r="A28" s="18" t="n">
        <x:v>46068</x:v>
      </x:c>
      <x:c r="B28" t="str">
        <x:v>T0012</x:v>
      </x:c>
      <x:c r="C28" t="str">
        <x:v>매출</x:v>
      </x:c>
      <x:c r="D28" t="str">
        <x:v>그린마트</x:v>
      </x:c>
      <x:c r="E28" t="str">
        <x:v>감자칩</x:v>
      </x:c>
      <x:c r="F28" t="n">
        <x:v>23</x:v>
      </x:c>
      <x:c r="G28" s="20" t="n">
        <x:v>1950</x:v>
      </x:c>
      <x:c r="H28" t="str">
        <x:v>완료</x:v>
      </x:c>
      <x:c r="I28"/>
      <x:c r="J28" s="22"/>
      <x:c r="K28" s="22"/>
      <x:c r="L28" s="22"/>
      <x:c r="M28" s="22"/>
    </x:row>
    <x:row r="29" ht="22" customHeight="1">
      <x:c r="A29" s="18" t="n">
        <x:v>46068</x:v>
      </x:c>
      <x:c r="B29" t="str">
        <x:v>T0078</x:v>
      </x:c>
      <x:c r="C29" t="str">
        <x:v>매입</x:v>
      </x:c>
      <x:c r="D29" t="str">
        <x:v>한빛유통</x:v>
      </x:c>
      <x:c r="E29" t="str">
        <x:v>물티슈 30매</x:v>
      </x:c>
      <x:c r="F29" t="n">
        <x:v>37</x:v>
      </x:c>
      <x:c r="G29" s="20" t="n">
        <x:v>920</x:v>
      </x:c>
      <x:c r="H29" t="str">
        <x:v>완료</x:v>
      </x:c>
      <x:c r="I29"/>
      <x:c r="J29" s="22"/>
      <x:c r="K29" s="22"/>
      <x:c r="L29" s="22"/>
      <x:c r="M29" s="22"/>
    </x:row>
    <x:row r="30" ht="22" customHeight="1">
      <x:c r="A30" s="18" t="n">
        <x:v>46073</x:v>
      </x:c>
      <x:c r="B30" t="str">
        <x:v>T0013</x:v>
      </x:c>
      <x:c r="C30" t="str">
        <x:v>매입</x:v>
      </x:c>
      <x:c r="D30" t="str">
        <x:v>다온산업</x:v>
      </x:c>
      <x:c r="E30" t="str">
        <x:v>물티슈 30매</x:v>
      </x:c>
      <x:c r="F30" t="n">
        <x:v>30</x:v>
      </x:c>
      <x:c r="G30" s="20" t="n">
        <x:v>920</x:v>
      </x:c>
      <x:c r="H30" t="str">
        <x:v>미지급</x:v>
      </x:c>
      <x:c r="I30"/>
      <x:c r="J30" s="22"/>
      <x:c r="K30" s="22"/>
      <x:c r="L30" s="22"/>
      <x:c r="M30" s="22"/>
    </x:row>
    <x:row r="31" ht="22" customHeight="1">
      <x:c r="A31" s="18" t="n">
        <x:v>46073</x:v>
      </x:c>
      <x:c r="B31" t="str">
        <x:v>T0079</x:v>
      </x:c>
      <x:c r="C31" t="str">
        <x:v>매출</x:v>
      </x:c>
      <x:c r="D31" t="str">
        <x:v>대성상회</x:v>
      </x:c>
      <x:c r="E31" t="str">
        <x:v>캔커피</x:v>
      </x:c>
      <x:c r="F31" t="n">
        <x:v>44</x:v>
      </x:c>
      <x:c r="G31" s="20" t="n">
        <x:v>1200</x:v>
      </x:c>
      <x:c r="H31" t="str">
        <x:v>미수</x:v>
      </x:c>
      <x:c r="I31"/>
      <x:c r="J31" s="22"/>
      <x:c r="K31" s="22"/>
      <x:c r="L31" s="22"/>
      <x:c r="M31" s="22"/>
    </x:row>
    <x:row r="32" ht="22" customHeight="1">
      <x:c r="A32" s="18" t="n">
        <x:v>46077</x:v>
      </x:c>
      <x:c r="B32" t="str">
        <x:v>T0014</x:v>
      </x:c>
      <x:c r="C32" t="str">
        <x:v>매출</x:v>
      </x:c>
      <x:c r="D32" t="str">
        <x:v>우리상사</x:v>
      </x:c>
      <x:c r="E32" t="str">
        <x:v>캔커피</x:v>
      </x:c>
      <x:c r="F32" t="n">
        <x:v>37</x:v>
      </x:c>
      <x:c r="G32" s="20" t="n">
        <x:v>1200</x:v>
      </x:c>
      <x:c r="H32" t="str">
        <x:v>완료</x:v>
      </x:c>
      <x:c r="I32"/>
      <x:c r="J32" s="22"/>
      <x:c r="K32" s="22"/>
      <x:c r="L32" s="22"/>
      <x:c r="M32" s="22"/>
    </x:row>
    <x:row r="33" ht="22" customHeight="1">
      <x:c r="A33" s="18" t="n">
        <x:v>46077</x:v>
      </x:c>
      <x:c r="B33" t="str">
        <x:v>T0080</x:v>
      </x:c>
      <x:c r="C33" t="str">
        <x:v>매입</x:v>
      </x:c>
      <x:c r="D33" t="str">
        <x:v>새롬포장</x:v>
      </x:c>
      <x:c r="E33" t="str">
        <x:v>초코바</x:v>
      </x:c>
      <x:c r="F33" t="n">
        <x:v>51</x:v>
      </x:c>
      <x:c r="G33" s="20" t="n">
        <x:v>700</x:v>
      </x:c>
      <x:c r="H33" t="str">
        <x:v>완료</x:v>
      </x:c>
      <x:c r="I33"/>
      <x:c r="J33" s="22"/>
      <x:c r="K33" s="22"/>
      <x:c r="L33" s="22"/>
      <x:c r="M33" s="22"/>
    </x:row>
    <x:row r="34" ht="22" customHeight="1">
      <x:c r="A34" s="18" t="n">
        <x:v>46081</x:v>
      </x:c>
      <x:c r="B34" t="str">
        <x:v>T0015</x:v>
      </x:c>
      <x:c r="C34" t="str">
        <x:v>매입</x:v>
      </x:c>
      <x:c r="D34" t="str">
        <x:v>한빛유통</x:v>
      </x:c>
      <x:c r="E34" t="str">
        <x:v>초코바</x:v>
      </x:c>
      <x:c r="F34" t="n">
        <x:v>44</x:v>
      </x:c>
      <x:c r="G34" s="20" t="n">
        <x:v>700</x:v>
      </x:c>
      <x:c r="H34" t="str">
        <x:v>완료</x:v>
      </x:c>
      <x:c r="I34"/>
      <x:c r="J34" s="22"/>
      <x:c r="K34" s="22"/>
      <x:c r="L34" s="22"/>
      <x:c r="M34" s="22"/>
    </x:row>
    <x:row r="35" ht="22" customHeight="1">
      <x:c r="A35" s="18" t="n">
        <x:v>46085</x:v>
      </x:c>
      <x:c r="B35" t="str">
        <x:v>T0016</x:v>
      </x:c>
      <x:c r="C35" t="str">
        <x:v>매출</x:v>
      </x:c>
      <x:c r="D35" t="str">
        <x:v>미래식품</x:v>
      </x:c>
      <x:c r="E35" t="str">
        <x:v>생수 500ml</x:v>
      </x:c>
      <x:c r="F35" t="n">
        <x:v>51</x:v>
      </x:c>
      <x:c r="G35" s="20" t="n">
        <x:v>850</x:v>
      </x:c>
      <x:c r="H35" t="str">
        <x:v>미수</x:v>
      </x:c>
      <x:c r="I35"/>
      <x:c r="J35" s="22"/>
      <x:c r="K35" s="22"/>
      <x:c r="L35" s="22"/>
      <x:c r="M35" s="22"/>
    </x:row>
    <x:row r="36" ht="22" customHeight="1">
      <x:c r="A36" s="18" t="n">
        <x:v>46089</x:v>
      </x:c>
      <x:c r="B36" t="str">
        <x:v>T0017</x:v>
      </x:c>
      <x:c r="C36" t="str">
        <x:v>매출</x:v>
      </x:c>
      <x:c r="D36" t="str">
        <x:v>그린마트</x:v>
      </x:c>
      <x:c r="E36" t="str">
        <x:v>감자칩</x:v>
      </x:c>
      <x:c r="F36" t="n">
        <x:v>58</x:v>
      </x:c>
      <x:c r="G36" s="20" t="n">
        <x:v>1950</x:v>
      </x:c>
      <x:c r="H36" t="str">
        <x:v>완료</x:v>
      </x:c>
      <x:c r="I36"/>
      <x:c r="J36" s="22"/>
      <x:c r="K36" s="22"/>
      <x:c r="L36" s="22"/>
      <x:c r="M36" s="22"/>
    </x:row>
    <x:row r="37" ht="22" customHeight="1">
      <x:c r="A37" s="18" t="n">
        <x:v>46093</x:v>
      </x:c>
      <x:c r="B37" t="str">
        <x:v>T0018</x:v>
      </x:c>
      <x:c r="C37" t="str">
        <x:v>매입</x:v>
      </x:c>
      <x:c r="D37" t="str">
        <x:v>다온산업</x:v>
      </x:c>
      <x:c r="E37" t="str">
        <x:v>물티슈 30매</x:v>
      </x:c>
      <x:c r="F37" t="n">
        <x:v>65</x:v>
      </x:c>
      <x:c r="G37" s="20" t="n">
        <x:v>920</x:v>
      </x:c>
      <x:c r="H37" t="str">
        <x:v>완료</x:v>
      </x:c>
      <x:c r="I37"/>
      <x:c r="J37" s="22"/>
      <x:c r="K37" s="22"/>
      <x:c r="L37" s="22"/>
      <x:c r="M37" s="22"/>
    </x:row>
    <x:row r="38" ht="22" customHeight="1">
      <x:c r="A38" s="18" t="n">
        <x:v>46098</x:v>
      </x:c>
      <x:c r="B38" t="str">
        <x:v>T0019</x:v>
      </x:c>
      <x:c r="C38" t="str">
        <x:v>매출</x:v>
      </x:c>
      <x:c r="D38" t="str">
        <x:v>푸른유통</x:v>
      </x:c>
      <x:c r="E38" t="str">
        <x:v>캔커피</x:v>
      </x:c>
      <x:c r="F38" t="n">
        <x:v>72</x:v>
      </x:c>
      <x:c r="G38" s="20" t="n">
        <x:v>1200</x:v>
      </x:c>
      <x:c r="H38" t="str">
        <x:v>완료</x:v>
      </x:c>
      <x:c r="I38"/>
      <x:c r="J38" s="22"/>
      <x:c r="K38" s="22"/>
      <x:c r="L38" s="22"/>
      <x:c r="M38" s="22"/>
    </x:row>
    <x:row r="39" ht="22" customHeight="1">
      <x:c r="A39" s="18" t="n">
        <x:v>46102</x:v>
      </x:c>
      <x:c r="B39" t="str">
        <x:v>T0020</x:v>
      </x:c>
      <x:c r="C39" t="str">
        <x:v>매입</x:v>
      </x:c>
      <x:c r="D39" t="str">
        <x:v>동서식품상사</x:v>
      </x:c>
      <x:c r="E39" t="str">
        <x:v>초코바</x:v>
      </x:c>
      <x:c r="F39" t="n">
        <x:v>15</x:v>
      </x:c>
      <x:c r="G39" s="20" t="n">
        <x:v>700</x:v>
      </x:c>
      <x:c r="H39" t="str">
        <x:v>미지급</x:v>
      </x:c>
      <x:c r="I39"/>
      <x:c r="J39" s="22"/>
      <x:c r="K39" s="22"/>
      <x:c r="L39" s="22"/>
      <x:c r="M39" s="22"/>
    </x:row>
    <x:row r="40" ht="22" customHeight="1">
      <x:c r="A40" s="18" t="n">
        <x:v>46106</x:v>
      </x:c>
      <x:c r="B40" t="str">
        <x:v>T0021</x:v>
      </x:c>
      <x:c r="C40" t="str">
        <x:v>매출</x:v>
      </x:c>
      <x:c r="D40" t="str">
        <x:v>미래식품</x:v>
      </x:c>
      <x:c r="E40" t="str">
        <x:v>생수 500ml</x:v>
      </x:c>
      <x:c r="F40" t="n">
        <x:v>22</x:v>
      </x:c>
      <x:c r="G40" s="20" t="n">
        <x:v>850</x:v>
      </x:c>
      <x:c r="H40" t="str">
        <x:v>완료</x:v>
      </x:c>
      <x:c r="I40"/>
      <x:c r="J40" s="22"/>
      <x:c r="K40" s="22"/>
      <x:c r="L40" s="22"/>
      <x:c r="M40" s="22"/>
    </x:row>
    <x:row r="41" ht="22" customHeight="1">
      <x:c r="A41" s="18" t="n">
        <x:v>46110</x:v>
      </x:c>
      <x:c r="B41" t="str">
        <x:v>T0022</x:v>
      </x:c>
      <x:c r="C41" t="str">
        <x:v>매출</x:v>
      </x:c>
      <x:c r="D41" t="str">
        <x:v>우리상사</x:v>
      </x:c>
      <x:c r="E41" t="str">
        <x:v>감자칩</x:v>
      </x:c>
      <x:c r="F41" t="n">
        <x:v>29</x:v>
      </x:c>
      <x:c r="G41" s="20" t="n">
        <x:v>1950</x:v>
      </x:c>
      <x:c r="H41" t="str">
        <x:v>완료</x:v>
      </x:c>
      <x:c r="I41"/>
      <x:c r="J41" s="22"/>
      <x:c r="K41" s="22"/>
      <x:c r="L41" s="22"/>
      <x:c r="M41" s="22"/>
    </x:row>
    <x:row r="42" ht="22" customHeight="1">
      <x:c r="A42" s="18" t="n">
        <x:v>46114</x:v>
      </x:c>
      <x:c r="B42" t="str">
        <x:v>T0023</x:v>
      </x:c>
      <x:c r="C42" t="str">
        <x:v>매입</x:v>
      </x:c>
      <x:c r="D42" t="str">
        <x:v>정우상사</x:v>
      </x:c>
      <x:c r="E42" t="str">
        <x:v>물티슈 30매</x:v>
      </x:c>
      <x:c r="F42" t="n">
        <x:v>36</x:v>
      </x:c>
      <x:c r="G42" s="20" t="n">
        <x:v>920</x:v>
      </x:c>
      <x:c r="H42" t="str">
        <x:v>미지급</x:v>
      </x:c>
      <x:c r="I42"/>
      <x:c r="J42" s="22"/>
      <x:c r="K42" s="22"/>
      <x:c r="L42" s="22"/>
      <x:c r="M42" s="22"/>
    </x:row>
    <x:row r="43" ht="22" customHeight="1">
      <x:c r="A43" s="18" t="n">
        <x:v>46118</x:v>
      </x:c>
      <x:c r="B43" t="str">
        <x:v>T0024</x:v>
      </x:c>
      <x:c r="C43" t="str">
        <x:v>매출</x:v>
      </x:c>
      <x:c r="D43" t="str">
        <x:v>미래식품</x:v>
      </x:c>
      <x:c r="E43" t="str">
        <x:v>캔커피</x:v>
      </x:c>
      <x:c r="F43" t="n">
        <x:v>43</x:v>
      </x:c>
      <x:c r="G43" s="20" t="n">
        <x:v>1200</x:v>
      </x:c>
      <x:c r="H43" t="str">
        <x:v>완료</x:v>
      </x:c>
      <x:c r="I43"/>
      <x:c r="J43" s="22"/>
      <x:c r="K43" s="22"/>
      <x:c r="L43" s="22"/>
      <x:c r="M43" s="22"/>
    </x:row>
    <x:row r="44" ht="22" customHeight="1">
      <x:c r="A44" s="18" t="n">
        <x:v>46123</x:v>
      </x:c>
      <x:c r="B44" t="str">
        <x:v>T0025</x:v>
      </x:c>
      <x:c r="C44" t="str">
        <x:v>매입</x:v>
      </x:c>
      <x:c r="D44" t="str">
        <x:v>중앙물산</x:v>
      </x:c>
      <x:c r="E44" t="str">
        <x:v>초코바</x:v>
      </x:c>
      <x:c r="F44" t="n">
        <x:v>50</x:v>
      </x:c>
      <x:c r="G44" s="20" t="n">
        <x:v>700</x:v>
      </x:c>
      <x:c r="H44" t="str">
        <x:v>완료</x:v>
      </x:c>
      <x:c r="I44"/>
      <x:c r="J44" s="22"/>
      <x:c r="K44" s="22"/>
      <x:c r="L44" s="22"/>
      <x:c r="M44" s="22"/>
    </x:row>
    <x:row r="45" ht="22" customHeight="1">
      <x:c r="A45" s="18" t="n">
        <x:v>46127</x:v>
      </x:c>
      <x:c r="B45" t="str">
        <x:v>T0026</x:v>
      </x:c>
      <x:c r="C45" t="str">
        <x:v>매출</x:v>
      </x:c>
      <x:c r="D45" t="str">
        <x:v>하나편의점</x:v>
      </x:c>
      <x:c r="E45" t="str">
        <x:v>생수 500ml</x:v>
      </x:c>
      <x:c r="F45" t="n">
        <x:v>57</x:v>
      </x:c>
      <x:c r="G45" s="20" t="n">
        <x:v>850</x:v>
      </x:c>
      <x:c r="H45" t="str">
        <x:v>완료</x:v>
      </x:c>
      <x:c r="I45"/>
      <x:c r="J45" s="22"/>
      <x:c r="K45" s="22"/>
      <x:c r="L45" s="22"/>
      <x:c r="M45" s="22"/>
    </x:row>
    <x:row r="46" ht="22" customHeight="1">
      <x:c r="A46" s="18" t="n">
        <x:v>46131</x:v>
      </x:c>
      <x:c r="B46" t="str">
        <x:v>T0027</x:v>
      </x:c>
      <x:c r="C46" t="str">
        <x:v>매출</x:v>
      </x:c>
      <x:c r="D46" t="str">
        <x:v>푸른유통</x:v>
      </x:c>
      <x:c r="E46" t="str">
        <x:v>감자칩</x:v>
      </x:c>
      <x:c r="F46" t="n">
        <x:v>64</x:v>
      </x:c>
      <x:c r="G46" s="20" t="n">
        <x:v>1950</x:v>
      </x:c>
      <x:c r="H46" t="str">
        <x:v>미수</x:v>
      </x:c>
      <x:c r="I46"/>
      <x:c r="J46" s="22"/>
      <x:c r="K46" s="22"/>
      <x:c r="L46" s="22"/>
      <x:c r="M46" s="22"/>
    </x:row>
    <x:row r="47" ht="22" customHeight="1">
      <x:c r="A47" s="18" t="n">
        <x:v>46135</x:v>
      </x:c>
      <x:c r="B47" t="str">
        <x:v>T0028</x:v>
      </x:c>
      <x:c r="C47" t="str">
        <x:v>매입</x:v>
      </x:c>
      <x:c r="D47" t="str">
        <x:v>한빛유통</x:v>
      </x:c>
      <x:c r="E47" t="str">
        <x:v>물티슈 30매</x:v>
      </x:c>
      <x:c r="F47" t="n">
        <x:v>71</x:v>
      </x:c>
      <x:c r="G47" s="20" t="n">
        <x:v>920</x:v>
      </x:c>
      <x:c r="H47" t="str">
        <x:v>완료</x:v>
      </x:c>
      <x:c r="I47"/>
      <x:c r="J47" s="22"/>
      <x:c r="K47" s="22"/>
      <x:c r="L47" s="22"/>
      <x:c r="M47" s="22"/>
    </x:row>
    <x:row r="48" ht="22" customHeight="1">
      <x:c r="A48" s="18" t="n">
        <x:v>46139</x:v>
      </x:c>
      <x:c r="B48" t="str">
        <x:v>T0029</x:v>
      </x:c>
      <x:c r="C48" t="str">
        <x:v>매출</x:v>
      </x:c>
      <x:c r="D48" t="str">
        <x:v>미래식품</x:v>
      </x:c>
      <x:c r="E48" t="str">
        <x:v>캔커피</x:v>
      </x:c>
      <x:c r="F48" t="n">
        <x:v>14</x:v>
      </x:c>
      <x:c r="G48" s="20" t="n">
        <x:v>1200</x:v>
      </x:c>
      <x:c r="H48" t="str">
        <x:v>완료</x:v>
      </x:c>
      <x:c r="I48"/>
      <x:c r="J48" s="22"/>
      <x:c r="K48" s="22"/>
      <x:c r="L48" s="22"/>
      <x:c r="M48" s="22"/>
    </x:row>
    <x:row r="49" ht="22" customHeight="1">
      <x:c r="A49" s="18" t="n">
        <x:v>46143</x:v>
      </x:c>
      <x:c r="B49" t="str">
        <x:v>T0030</x:v>
      </x:c>
      <x:c r="C49" t="str">
        <x:v>매입</x:v>
      </x:c>
      <x:c r="D49" t="str">
        <x:v>중앙물산</x:v>
      </x:c>
      <x:c r="E49" t="str">
        <x:v>초코바</x:v>
      </x:c>
      <x:c r="F49" t="n">
        <x:v>21</x:v>
      </x:c>
      <x:c r="G49" s="20" t="n">
        <x:v>700</x:v>
      </x:c>
      <x:c r="H49" t="str">
        <x:v>미지급</x:v>
      </x:c>
      <x:c r="I49"/>
      <x:c r="J49" s="22"/>
      <x:c r="K49" s="22"/>
      <x:c r="L49" s="22"/>
      <x:c r="M49" s="22"/>
    </x:row>
    <x:row r="50" ht="22" customHeight="1">
      <x:c r="A50" s="18" t="n">
        <x:v>46148</x:v>
      </x:c>
      <x:c r="B50" t="str">
        <x:v>T0031</x:v>
      </x:c>
      <x:c r="C50" t="str">
        <x:v>매출</x:v>
      </x:c>
      <x:c r="D50" t="str">
        <x:v>대성상회</x:v>
      </x:c>
      <x:c r="E50" t="str">
        <x:v>생수 500ml</x:v>
      </x:c>
      <x:c r="F50" t="n">
        <x:v>28</x:v>
      </x:c>
      <x:c r="G50" s="20" t="n">
        <x:v>850</x:v>
      </x:c>
      <x:c r="H50" t="str">
        <x:v>완료</x:v>
      </x:c>
      <x:c r="I50"/>
      <x:c r="J50" s="22"/>
      <x:c r="K50" s="22"/>
      <x:c r="L50" s="22"/>
      <x:c r="M50" s="22"/>
    </x:row>
    <x:row r="51" ht="22" customHeight="1">
      <x:c r="A51" s="18" t="n">
        <x:v>46152</x:v>
      </x:c>
      <x:c r="B51" t="str">
        <x:v>T0032</x:v>
      </x:c>
      <x:c r="C51" t="str">
        <x:v>매출</x:v>
      </x:c>
      <x:c r="D51" t="str">
        <x:v>미래식품</x:v>
      </x:c>
      <x:c r="E51" t="str">
        <x:v>감자칩</x:v>
      </x:c>
      <x:c r="F51" t="n">
        <x:v>35</x:v>
      </x:c>
      <x:c r="G51" s="20" t="n">
        <x:v>1950</x:v>
      </x:c>
      <x:c r="H51" t="str">
        <x:v>완료</x:v>
      </x:c>
      <x:c r="I51"/>
      <x:c r="J51" s="22"/>
      <x:c r="K51" s="22"/>
      <x:c r="L51" s="22"/>
      <x:c r="M51" s="22"/>
    </x:row>
    <x:row r="52" ht="22" customHeight="1">
      <x:c r="A52" s="18" t="n">
        <x:v>46156</x:v>
      </x:c>
      <x:c r="B52" t="str">
        <x:v>T0033</x:v>
      </x:c>
      <x:c r="C52" t="str">
        <x:v>매입</x:v>
      </x:c>
      <x:c r="D52" t="str">
        <x:v>한빛유통</x:v>
      </x:c>
      <x:c r="E52" t="str">
        <x:v>물티슈 30매</x:v>
      </x:c>
      <x:c r="F52" t="n">
        <x:v>42</x:v>
      </x:c>
      <x:c r="G52" s="20" t="n">
        <x:v>920</x:v>
      </x:c>
      <x:c r="H52" t="str">
        <x:v>완료</x:v>
      </x:c>
      <x:c r="I52"/>
      <x:c r="J52" s="22"/>
      <x:c r="K52" s="22"/>
      <x:c r="L52" s="22"/>
      <x:c r="M52" s="22"/>
    </x:row>
    <x:row r="53" ht="22" customHeight="1">
      <x:c r="A53" s="18" t="n">
        <x:v>46160</x:v>
      </x:c>
      <x:c r="B53" t="str">
        <x:v>T0034</x:v>
      </x:c>
      <x:c r="C53" t="str">
        <x:v>매출</x:v>
      </x:c>
      <x:c r="D53" t="str">
        <x:v>하나편의점</x:v>
      </x:c>
      <x:c r="E53" t="str">
        <x:v>캔커피</x:v>
      </x:c>
      <x:c r="F53" t="n">
        <x:v>49</x:v>
      </x:c>
      <x:c r="G53" s="20" t="n">
        <x:v>1200</x:v>
      </x:c>
      <x:c r="H53" t="str">
        <x:v>미수</x:v>
      </x:c>
      <x:c r="I53"/>
      <x:c r="J53" s="22"/>
      <x:c r="K53" s="22"/>
      <x:c r="L53" s="22"/>
      <x:c r="M53" s="22"/>
    </x:row>
    <x:row r="54" ht="22" customHeight="1">
      <x:c r="A54" s="18" t="n">
        <x:v>46164</x:v>
      </x:c>
      <x:c r="B54" t="str">
        <x:v>T0035</x:v>
      </x:c>
      <x:c r="C54" t="str">
        <x:v>매입</x:v>
      </x:c>
      <x:c r="D54" t="str">
        <x:v>새롬포장</x:v>
      </x:c>
      <x:c r="E54" t="str">
        <x:v>초코바</x:v>
      </x:c>
      <x:c r="F54" t="n">
        <x:v>56</x:v>
      </x:c>
      <x:c r="G54" s="20" t="n">
        <x:v>700</x:v>
      </x:c>
      <x:c r="H54" t="str">
        <x:v>완료</x:v>
      </x:c>
      <x:c r="I54"/>
      <x:c r="J54" s="22"/>
      <x:c r="K54" s="22"/>
      <x:c r="L54" s="22"/>
      <x:c r="M54" s="22"/>
    </x:row>
    <x:row r="55" ht="22" customHeight="1">
      <x:c r="A55" s="18" t="n">
        <x:v>46168</x:v>
      </x:c>
      <x:c r="B55" t="str">
        <x:v>T0036</x:v>
      </x:c>
      <x:c r="C55" t="str">
        <x:v>매출</x:v>
      </x:c>
      <x:c r="D55" t="str">
        <x:v>그린마트</x:v>
      </x:c>
      <x:c r="E55" t="str">
        <x:v>생수 500ml</x:v>
      </x:c>
      <x:c r="F55" t="n">
        <x:v>63</x:v>
      </x:c>
      <x:c r="G55" s="20" t="n">
        <x:v>850</x:v>
      </x:c>
      <x:c r="H55" t="str">
        <x:v>완료</x:v>
      </x:c>
      <x:c r="I55"/>
      <x:c r="J55" s="22"/>
      <x:c r="K55" s="22"/>
      <x:c r="L55" s="22"/>
      <x:c r="M55" s="22"/>
    </x:row>
    <x:row r="56" ht="22" customHeight="1">
      <x:c r="A56" s="18" t="n">
        <x:v>46173</x:v>
      </x:c>
      <x:c r="B56" t="str">
        <x:v>T0037</x:v>
      </x:c>
      <x:c r="C56" t="str">
        <x:v>매출</x:v>
      </x:c>
      <x:c r="D56" t="str">
        <x:v>미래식품</x:v>
      </x:c>
      <x:c r="E56" t="str">
        <x:v>감자칩</x:v>
      </x:c>
      <x:c r="F56" t="n">
        <x:v>70</x:v>
      </x:c>
      <x:c r="G56" s="20" t="n">
        <x:v>1950</x:v>
      </x:c>
      <x:c r="H56" t="str">
        <x:v>미수</x:v>
      </x:c>
      <x:c r="I56"/>
      <x:c r="J56" s="22"/>
      <x:c r="K56" s="22"/>
      <x:c r="L56" s="22"/>
      <x:c r="M56" s="22"/>
    </x:row>
    <x:row r="57" ht="22" customHeight="1">
      <x:c r="A57" s="18" t="n">
        <x:v>46177</x:v>
      </x:c>
      <x:c r="B57" t="str">
        <x:v>T0038</x:v>
      </x:c>
      <x:c r="C57" t="str">
        <x:v>매입</x:v>
      </x:c>
      <x:c r="D57" t="str">
        <x:v>동서식품상사</x:v>
      </x:c>
      <x:c r="E57" t="str">
        <x:v>물티슈 30매</x:v>
      </x:c>
      <x:c r="F57" t="n">
        <x:v>13</x:v>
      </x:c>
      <x:c r="G57" s="20" t="n">
        <x:v>920</x:v>
      </x:c>
      <x:c r="H57" t="str">
        <x:v>완료</x:v>
      </x:c>
      <x:c r="I57"/>
      <x:c r="J57" s="22"/>
      <x:c r="K57" s="22"/>
      <x:c r="L57" s="22"/>
      <x:c r="M57" s="22"/>
    </x:row>
    <x:row r="58" ht="22" customHeight="1">
      <x:c r="A58" s="18" t="n">
        <x:v>46181</x:v>
      </x:c>
      <x:c r="B58" t="str">
        <x:v>T0039</x:v>
      </x:c>
      <x:c r="C58" t="str">
        <x:v>매출</x:v>
      </x:c>
      <x:c r="D58" t="str">
        <x:v>대성상회</x:v>
      </x:c>
      <x:c r="E58" t="str">
        <x:v>캔커피</x:v>
      </x:c>
      <x:c r="F58" t="n">
        <x:v>20</x:v>
      </x:c>
      <x:c r="G58" s="20" t="n">
        <x:v>1200</x:v>
      </x:c>
      <x:c r="H58" t="str">
        <x:v>완료</x:v>
      </x:c>
      <x:c r="I58"/>
      <x:c r="J58" s="22"/>
      <x:c r="K58" s="22"/>
      <x:c r="L58" s="22"/>
      <x:c r="M58" s="22"/>
    </x:row>
    <x:row r="59" ht="22" customHeight="1">
      <x:c r="A59" s="18" t="n">
        <x:v>46185</x:v>
      </x:c>
      <x:c r="B59" t="str">
        <x:v>T0040</x:v>
      </x:c>
      <x:c r="C59" t="str">
        <x:v>매입</x:v>
      </x:c>
      <x:c r="D59" t="str">
        <x:v>다온산업</x:v>
      </x:c>
      <x:c r="E59" t="str">
        <x:v>초코바</x:v>
      </x:c>
      <x:c r="F59" t="n">
        <x:v>27</x:v>
      </x:c>
      <x:c r="G59" s="20" t="n">
        <x:v>700</x:v>
      </x:c>
      <x:c r="H59" t="str">
        <x:v>완료</x:v>
      </x:c>
      <x:c r="I59"/>
      <x:c r="J59" s="22"/>
      <x:c r="K59" s="22"/>
      <x:c r="L59" s="22"/>
      <x:c r="M59" s="22"/>
    </x:row>
    <x:row r="60" ht="22" customHeight="1">
      <x:c r="A60" s="18" t="n">
        <x:v>46189</x:v>
      </x:c>
      <x:c r="B60" t="str">
        <x:v>T0041</x:v>
      </x:c>
      <x:c r="C60" t="str">
        <x:v>매출</x:v>
      </x:c>
      <x:c r="D60" t="str">
        <x:v>그린마트</x:v>
      </x:c>
      <x:c r="E60" t="str">
        <x:v>생수 500ml</x:v>
      </x:c>
      <x:c r="F60" t="n">
        <x:v>34</x:v>
      </x:c>
      <x:c r="G60" s="20" t="n">
        <x:v>850</x:v>
      </x:c>
      <x:c r="H60" t="str">
        <x:v>미수</x:v>
      </x:c>
      <x:c r="I60"/>
      <x:c r="J60" s="22"/>
      <x:c r="K60" s="22"/>
      <x:c r="L60" s="22"/>
      <x:c r="M60" s="22"/>
    </x:row>
    <x:row r="61" ht="22" customHeight="1">
      <x:c r="A61" s="18" t="n">
        <x:v>46193</x:v>
      </x:c>
      <x:c r="B61" t="str">
        <x:v>T0042</x:v>
      </x:c>
      <x:c r="C61" t="str">
        <x:v>매출</x:v>
      </x:c>
      <x:c r="D61" t="str">
        <x:v>하나편의점</x:v>
      </x:c>
      <x:c r="E61" t="str">
        <x:v>감자칩</x:v>
      </x:c>
      <x:c r="F61" t="n">
        <x:v>41</x:v>
      </x:c>
      <x:c r="G61" s="20" t="n">
        <x:v>1950</x:v>
      </x:c>
      <x:c r="H61" t="str">
        <x:v>완료</x:v>
      </x:c>
      <x:c r="I61"/>
      <x:c r="J61" s="22"/>
      <x:c r="K61" s="22"/>
      <x:c r="L61" s="22"/>
      <x:c r="M61" s="22"/>
    </x:row>
    <x:row r="62" ht="22" customHeight="1">
      <x:c r="A62" s="18" t="n">
        <x:v>46198</x:v>
      </x:c>
      <x:c r="B62" t="str">
        <x:v>T0043</x:v>
      </x:c>
      <x:c r="C62" t="str">
        <x:v>매입</x:v>
      </x:c>
      <x:c r="D62" t="str">
        <x:v>중앙물산</x:v>
      </x:c>
      <x:c r="E62" t="str">
        <x:v>물티슈 30매</x:v>
      </x:c>
      <x:c r="F62" t="n">
        <x:v>48</x:v>
      </x:c>
      <x:c r="G62" s="20" t="n">
        <x:v>920</x:v>
      </x:c>
      <x:c r="H62" t="str">
        <x:v>완료</x:v>
      </x:c>
      <x:c r="I62"/>
      <x:c r="J62" s="22"/>
      <x:c r="K62" s="22"/>
      <x:c r="L62" s="22"/>
      <x:c r="M62" s="22"/>
    </x:row>
    <x:row r="63" ht="22" customHeight="1">
      <x:c r="A63" s="18" t="n">
        <x:v>46202</x:v>
      </x:c>
      <x:c r="B63" t="str">
        <x:v>T0044</x:v>
      </x:c>
      <x:c r="C63" t="str">
        <x:v>매출</x:v>
      </x:c>
      <x:c r="D63" t="str">
        <x:v>그린마트</x:v>
      </x:c>
      <x:c r="E63" t="str">
        <x:v>캔커피</x:v>
      </x:c>
      <x:c r="F63" t="n">
        <x:v>55</x:v>
      </x:c>
      <x:c r="G63" s="20" t="n">
        <x:v>1200</x:v>
      </x:c>
      <x:c r="H63" t="str">
        <x:v>미수</x:v>
      </x:c>
      <x:c r="I63"/>
      <x:c r="J63" s="22"/>
      <x:c r="K63" s="22"/>
      <x:c r="L63" s="22"/>
      <x:c r="M63" s="22"/>
    </x:row>
    <x:row r="64" ht="22" customHeight="1">
      <x:c r="A64" s="18" t="n">
        <x:v>46206</x:v>
      </x:c>
      <x:c r="B64" t="str">
        <x:v>T0045</x:v>
      </x:c>
      <x:c r="C64" t="str">
        <x:v>매입</x:v>
      </x:c>
      <x:c r="D64" t="str">
        <x:v>다온산업</x:v>
      </x:c>
      <x:c r="E64" t="str">
        <x:v>초코바</x:v>
      </x:c>
      <x:c r="F64" t="n">
        <x:v>62</x:v>
      </x:c>
      <x:c r="G64" s="20" t="n">
        <x:v>700</x:v>
      </x:c>
      <x:c r="H64" t="str">
        <x:v>완료</x:v>
      </x:c>
      <x:c r="I64"/>
      <x:c r="J64" s="22"/>
      <x:c r="K64" s="22"/>
      <x:c r="L64" s="22"/>
      <x:c r="M64" s="22"/>
    </x:row>
    <x:row r="65" ht="22" customHeight="1">
      <x:c r="A65" s="18" t="n">
        <x:v>46210</x:v>
      </x:c>
      <x:c r="B65" t="str">
        <x:v>T0046</x:v>
      </x:c>
      <x:c r="C65" t="str">
        <x:v>매출</x:v>
      </x:c>
      <x:c r="D65" t="str">
        <x:v>우리상사</x:v>
      </x:c>
      <x:c r="E65" t="str">
        <x:v>생수 500ml</x:v>
      </x:c>
      <x:c r="F65" t="n">
        <x:v>69</x:v>
      </x:c>
      <x:c r="G65" s="20" t="n">
        <x:v>850</x:v>
      </x:c>
      <x:c r="H65" t="str">
        <x:v>완료</x:v>
      </x:c>
      <x:c r="I65"/>
      <x:c r="J65" s="22"/>
      <x:c r="K65" s="22"/>
      <x:c r="L65" s="22"/>
      <x:c r="M65" s="22"/>
    </x:row>
    <x:row r="66" ht="22" customHeight="1">
      <x:c r="A66" s="18" t="n">
        <x:v>46214</x:v>
      </x:c>
      <x:c r="B66" t="str">
        <x:v>T0047</x:v>
      </x:c>
      <x:c r="C66" t="str">
        <x:v>매출</x:v>
      </x:c>
      <x:c r="D66" t="str">
        <x:v>대성상회</x:v>
      </x:c>
      <x:c r="E66" t="str">
        <x:v>감자칩</x:v>
      </x:c>
      <x:c r="F66" t="n">
        <x:v>12</x:v>
      </x:c>
      <x:c r="G66" s="20" t="n">
        <x:v>1950</x:v>
      </x:c>
      <x:c r="H66" t="str">
        <x:v>완료</x:v>
      </x:c>
      <x:c r="I66"/>
      <x:c r="J66" s="22"/>
      <x:c r="K66" s="22"/>
      <x:c r="L66" s="22"/>
      <x:c r="M66" s="22"/>
    </x:row>
    <x:row r="67" ht="22" customHeight="1">
      <x:c r="A67" s="18" t="n">
        <x:v>46218</x:v>
      </x:c>
      <x:c r="B67" t="str">
        <x:v>T0048</x:v>
      </x:c>
      <x:c r="C67" t="str">
        <x:v>매입</x:v>
      </x:c>
      <x:c r="D67" t="str">
        <x:v>중앙물산</x:v>
      </x:c>
      <x:c r="E67" t="str">
        <x:v>물티슈 30매</x:v>
      </x:c>
      <x:c r="F67" t="n">
        <x:v>19</x:v>
      </x:c>
      <x:c r="G67" s="20" t="n">
        <x:v>920</x:v>
      </x:c>
      <x:c r="H67" t="str">
        <x:v>미지급</x:v>
      </x:c>
      <x:c r="I67"/>
      <x:c r="J67" s="22"/>
      <x:c r="K67" s="22"/>
      <x:c r="L67" s="22"/>
      <x:c r="M67" s="22"/>
    </x:row>
    <x:row r="68" ht="22" customHeight="1">
      <x:c r="A68" s="18" t="n">
        <x:v>46223</x:v>
      </x:c>
      <x:c r="B68" t="str">
        <x:v>T0049</x:v>
      </x:c>
      <x:c r="C68" t="str">
        <x:v>매출</x:v>
      </x:c>
      <x:c r="D68" t="str">
        <x:v>그린마트</x:v>
      </x:c>
      <x:c r="E68" t="str">
        <x:v>캔커피</x:v>
      </x:c>
      <x:c r="F68" t="n">
        <x:v>26</x:v>
      </x:c>
      <x:c r="G68" s="20" t="n">
        <x:v>1200</x:v>
      </x:c>
      <x:c r="H68" t="str">
        <x:v>완료</x:v>
      </x:c>
      <x:c r="I68"/>
      <x:c r="J68" s="22"/>
      <x:c r="K68" s="22"/>
      <x:c r="L68" s="22"/>
      <x:c r="M68" s="22"/>
    </x:row>
    <x:row r="69" ht="22" customHeight="1">
      <x:c r="A69" s="18" t="n">
        <x:v>46227</x:v>
      </x:c>
      <x:c r="B69" t="str">
        <x:v>T0050</x:v>
      </x:c>
      <x:c r="C69" t="str">
        <x:v>매입</x:v>
      </x:c>
      <x:c r="D69" t="str">
        <x:v>정우상사</x:v>
      </x:c>
      <x:c r="E69" t="str">
        <x:v>초코바</x:v>
      </x:c>
      <x:c r="F69" t="n">
        <x:v>33</x:v>
      </x:c>
      <x:c r="G69" s="20" t="n">
        <x:v>700</x:v>
      </x:c>
      <x:c r="H69" t="str">
        <x:v>완료</x:v>
      </x:c>
      <x:c r="I69"/>
      <x:c r="J69" s="22"/>
      <x:c r="K69" s="22"/>
      <x:c r="L69" s="22"/>
      <x:c r="M69" s="22"/>
    </x:row>
    <x:row r="70" ht="22" customHeight="1">
      <x:c r="A70" s="18" t="n">
        <x:v>46231</x:v>
      </x:c>
      <x:c r="B70" t="str">
        <x:v>T0051</x:v>
      </x:c>
      <x:c r="C70" t="str">
        <x:v>매출</x:v>
      </x:c>
      <x:c r="D70" t="str">
        <x:v>푸른유통</x:v>
      </x:c>
      <x:c r="E70" t="str">
        <x:v>생수 500ml</x:v>
      </x:c>
      <x:c r="F70" t="n">
        <x:v>40</x:v>
      </x:c>
      <x:c r="G70" s="20" t="n">
        <x:v>850</x:v>
      </x:c>
      <x:c r="H70" t="str">
        <x:v>미수</x:v>
      </x:c>
      <x:c r="I70"/>
      <x:c r="J70" s="22"/>
      <x:c r="K70" s="22"/>
      <x:c r="L70" s="22"/>
      <x:c r="M70" s="22"/>
    </x:row>
    <x:row r="71" ht="22" customHeight="1">
      <x:c r="A71" s="18" t="n">
        <x:v>46235</x:v>
      </x:c>
      <x:c r="B71" t="str">
        <x:v>T0052</x:v>
      </x:c>
      <x:c r="C71" t="str">
        <x:v>매출</x:v>
      </x:c>
      <x:c r="D71" t="str">
        <x:v>그린마트</x:v>
      </x:c>
      <x:c r="E71" t="str">
        <x:v>감자칩</x:v>
      </x:c>
      <x:c r="F71" t="n">
        <x:v>47</x:v>
      </x:c>
      <x:c r="G71" s="20" t="n">
        <x:v>1950</x:v>
      </x:c>
      <x:c r="H71" t="str">
        <x:v>완료</x:v>
      </x:c>
      <x:c r="I71"/>
      <x:c r="J71" s="22"/>
      <x:c r="K71" s="22"/>
      <x:c r="L71" s="22"/>
      <x:c r="M71" s="22"/>
    </x:row>
    <x:row r="72" ht="22" customHeight="1">
      <x:c r="A72" s="18" t="n">
        <x:v>46239</x:v>
      </x:c>
      <x:c r="B72" t="str">
        <x:v>T0053</x:v>
      </x:c>
      <x:c r="C72" t="str">
        <x:v>매입</x:v>
      </x:c>
      <x:c r="D72" t="str">
        <x:v>새롬포장</x:v>
      </x:c>
      <x:c r="E72" t="str">
        <x:v>물티슈 30매</x:v>
      </x:c>
      <x:c r="F72" t="n">
        <x:v>54</x:v>
      </x:c>
      <x:c r="G72" s="20" t="n">
        <x:v>920</x:v>
      </x:c>
      <x:c r="H72" t="str">
        <x:v>완료</x:v>
      </x:c>
      <x:c r="I72"/>
      <x:c r="J72" s="22"/>
      <x:c r="K72" s="22"/>
      <x:c r="L72" s="22"/>
      <x:c r="M72" s="22"/>
    </x:row>
    <x:row r="73" ht="22" customHeight="1">
      <x:c r="A73" s="18" t="n">
        <x:v>46243</x:v>
      </x:c>
      <x:c r="B73" t="str">
        <x:v>T0054</x:v>
      </x:c>
      <x:c r="C73" t="str">
        <x:v>매출</x:v>
      </x:c>
      <x:c r="D73" t="str">
        <x:v>우리상사</x:v>
      </x:c>
      <x:c r="E73" t="str">
        <x:v>캔커피</x:v>
      </x:c>
      <x:c r="F73" t="n">
        <x:v>61</x:v>
      </x:c>
      <x:c r="G73" s="20" t="n">
        <x:v>1200</x:v>
      </x:c>
      <x:c r="H73" t="str">
        <x:v>완료</x:v>
      </x:c>
      <x:c r="I73"/>
      <x:c r="J73" s="22"/>
      <x:c r="K73" s="22"/>
      <x:c r="L73" s="22"/>
      <x:c r="M73" s="22"/>
    </x:row>
    <x:row r="74" ht="22" customHeight="1">
      <x:c r="A74" s="18" t="n">
        <x:v>46248</x:v>
      </x:c>
      <x:c r="B74" t="str">
        <x:v>T0055</x:v>
      </x:c>
      <x:c r="C74" t="str">
        <x:v>매입</x:v>
      </x:c>
      <x:c r="D74" t="str">
        <x:v>한빛유통</x:v>
      </x:c>
      <x:c r="E74" t="str">
        <x:v>초코바</x:v>
      </x:c>
      <x:c r="F74" t="n">
        <x:v>68</x:v>
      </x:c>
      <x:c r="G74" s="20" t="n">
        <x:v>700</x:v>
      </x:c>
      <x:c r="H74" t="str">
        <x:v>미지급</x:v>
      </x:c>
      <x:c r="I74"/>
      <x:c r="J74" s="22"/>
      <x:c r="K74" s="22"/>
      <x:c r="L74" s="22"/>
      <x:c r="M74" s="22"/>
    </x:row>
    <x:row r="75" ht="22" customHeight="1">
      <x:c r="A75" s="18" t="n">
        <x:v>46252</x:v>
      </x:c>
      <x:c r="B75" t="str">
        <x:v>T0056</x:v>
      </x:c>
      <x:c r="C75" t="str">
        <x:v>매출</x:v>
      </x:c>
      <x:c r="D75" t="str">
        <x:v>미래식품</x:v>
      </x:c>
      <x:c r="E75" t="str">
        <x:v>생수 500ml</x:v>
      </x:c>
      <x:c r="F75" t="n">
        <x:v>11</x:v>
      </x:c>
      <x:c r="G75" s="20" t="n">
        <x:v>850</x:v>
      </x:c>
      <x:c r="H75" t="str">
        <x:v>완료</x:v>
      </x:c>
      <x:c r="I75"/>
      <x:c r="J75" s="22"/>
      <x:c r="K75" s="22"/>
      <x:c r="L75" s="22"/>
      <x:c r="M75" s="22"/>
    </x:row>
    <x:row r="76" ht="22" customHeight="1">
      <x:c r="A76" s="18" t="n">
        <x:v>46256</x:v>
      </x:c>
      <x:c r="B76" t="str">
        <x:v>T0057</x:v>
      </x:c>
      <x:c r="C76" t="str">
        <x:v>매출</x:v>
      </x:c>
      <x:c r="D76" t="str">
        <x:v>그린마트</x:v>
      </x:c>
      <x:c r="E76" t="str">
        <x:v>감자칩</x:v>
      </x:c>
      <x:c r="F76" t="n">
        <x:v>18</x:v>
      </x:c>
      <x:c r="G76" s="20" t="n">
        <x:v>1950</x:v>
      </x:c>
      <x:c r="H76" t="str">
        <x:v>완료</x:v>
      </x:c>
      <x:c r="I76"/>
      <x:c r="J76" s="22"/>
      <x:c r="K76" s="22"/>
      <x:c r="L76" s="22"/>
      <x:c r="M76" s="22"/>
    </x:row>
    <x:row r="77" ht="22" customHeight="1">
      <x:c r="A77" s="18" t="n">
        <x:v>46260</x:v>
      </x:c>
      <x:c r="B77" t="str">
        <x:v>T0058</x:v>
      </x:c>
      <x:c r="C77" t="str">
        <x:v>매입</x:v>
      </x:c>
      <x:c r="D77" t="str">
        <x:v>다온산업</x:v>
      </x:c>
      <x:c r="E77" t="str">
        <x:v>물티슈 30매</x:v>
      </x:c>
      <x:c r="F77" t="n">
        <x:v>25</x:v>
      </x:c>
      <x:c r="G77" s="20" t="n">
        <x:v>920</x:v>
      </x:c>
      <x:c r="H77" t="str">
        <x:v>미지급</x:v>
      </x:c>
      <x:c r="I77"/>
      <x:c r="J77" s="22"/>
      <x:c r="K77" s="22"/>
      <x:c r="L77" s="22"/>
      <x:c r="M77" s="22"/>
    </x:row>
    <x:row r="78" ht="22" customHeight="1">
      <x:c r="A78" s="18" t="n">
        <x:v>46264</x:v>
      </x:c>
      <x:c r="B78" t="str">
        <x:v>T0059</x:v>
      </x:c>
      <x:c r="C78" t="str">
        <x:v>매출</x:v>
      </x:c>
      <x:c r="D78" t="str">
        <x:v>푸른유통</x:v>
      </x:c>
      <x:c r="E78" t="str">
        <x:v>캔커피</x:v>
      </x:c>
      <x:c r="F78" t="n">
        <x:v>32</x:v>
      </x:c>
      <x:c r="G78" s="20" t="n">
        <x:v>1200</x:v>
      </x:c>
      <x:c r="H78" t="str">
        <x:v>완료</x:v>
      </x:c>
      <x:c r="I78"/>
      <x:c r="J78" s="22"/>
      <x:c r="K78" s="22"/>
      <x:c r="L78" s="22"/>
      <x:c r="M78" s="22"/>
    </x:row>
    <x:row r="79" ht="22" customHeight="1">
      <x:c r="A79" s="18" t="n">
        <x:v>46268</x:v>
      </x:c>
      <x:c r="B79" t="str">
        <x:v>T0060</x:v>
      </x:c>
      <x:c r="C79" t="str">
        <x:v>매입</x:v>
      </x:c>
      <x:c r="D79" t="str">
        <x:v>한빛유통</x:v>
      </x:c>
      <x:c r="E79" t="str">
        <x:v>초코바</x:v>
      </x:c>
      <x:c r="F79" t="n">
        <x:v>39</x:v>
      </x:c>
      <x:c r="G79" s="20" t="n">
        <x:v>700</x:v>
      </x:c>
      <x:c r="H79" t="str">
        <x:v>완료</x:v>
      </x:c>
      <x:c r="I79"/>
      <x:c r="J79" s="22"/>
      <x:c r="K79" s="22"/>
      <x:c r="L79" s="22"/>
      <x:c r="M79" s="22"/>
    </x:row>
    <x:row r="80" ht="22" customHeight="1">
      <x:c r="A80" s="18" t="n">
        <x:v>46273</x:v>
      </x:c>
      <x:c r="B80" t="str">
        <x:v>T0061</x:v>
      </x:c>
      <x:c r="C80" t="str">
        <x:v>매출</x:v>
      </x:c>
      <x:c r="D80" t="str">
        <x:v>미래식품</x:v>
      </x:c>
      <x:c r="E80" t="str">
        <x:v>생수 500ml</x:v>
      </x:c>
      <x:c r="F80" t="n">
        <x:v>46</x:v>
      </x:c>
      <x:c r="G80" s="20" t="n">
        <x:v>850</x:v>
      </x:c>
      <x:c r="H80" t="str">
        <x:v>완료</x:v>
      </x:c>
      <x:c r="I80"/>
      <x:c r="J80" s="22"/>
      <x:c r="K80" s="22"/>
      <x:c r="L80" s="22"/>
      <x:c r="M80" s="22"/>
    </x:row>
    <x:row r="81" ht="22" customHeight="1">
      <x:c r="A81" s="18" t="n">
        <x:v>46277</x:v>
      </x:c>
      <x:c r="B81" t="str">
        <x:v>T0062</x:v>
      </x:c>
      <x:c r="C81" t="str">
        <x:v>매출</x:v>
      </x:c>
      <x:c r="D81" t="str">
        <x:v>우리상사</x:v>
      </x:c>
      <x:c r="E81" t="str">
        <x:v>감자칩</x:v>
      </x:c>
      <x:c r="F81" t="n">
        <x:v>53</x:v>
      </x:c>
      <x:c r="G81" s="20" t="n">
        <x:v>1950</x:v>
      </x:c>
      <x:c r="H81" t="str">
        <x:v>미수</x:v>
      </x:c>
      <x:c r="I81"/>
      <x:c r="J81" s="22"/>
      <x:c r="K81" s="22"/>
      <x:c r="L81" s="22"/>
      <x:c r="M81" s="22"/>
    </x:row>
    <x:row r="82" ht="22" customHeight="1">
      <x:c r="A82" s="18" t="n">
        <x:v>46281</x:v>
      </x:c>
      <x:c r="B82" t="str">
        <x:v>T0063</x:v>
      </x:c>
      <x:c r="C82" t="str">
        <x:v>매입</x:v>
      </x:c>
      <x:c r="D82" t="str">
        <x:v>다온산업</x:v>
      </x:c>
      <x:c r="E82" t="str">
        <x:v>물티슈 30매</x:v>
      </x:c>
      <x:c r="F82" t="n">
        <x:v>60</x:v>
      </x:c>
      <x:c r="G82" s="20" t="n">
        <x:v>920</x:v>
      </x:c>
      <x:c r="H82" t="str">
        <x:v>완료</x:v>
      </x:c>
      <x:c r="I82"/>
      <x:c r="J82" s="22"/>
      <x:c r="K82" s="22"/>
      <x:c r="L82" s="22"/>
      <x:c r="M82" s="22"/>
    </x:row>
    <x:row r="83" ht="22" customHeight="1">
      <x:c r="A83" s="18" t="n">
        <x:v>46285</x:v>
      </x:c>
      <x:c r="B83" t="str">
        <x:v>T0064</x:v>
      </x:c>
      <x:c r="C83" t="str">
        <x:v>매출</x:v>
      </x:c>
      <x:c r="D83" t="str">
        <x:v>미래식품</x:v>
      </x:c>
      <x:c r="E83" t="str">
        <x:v>캔커피</x:v>
      </x:c>
      <x:c r="F83" t="n">
        <x:v>67</x:v>
      </x:c>
      <x:c r="G83" s="20" t="n">
        <x:v>1200</x:v>
      </x:c>
      <x:c r="H83" t="str">
        <x:v>완료</x:v>
      </x:c>
      <x:c r="I83"/>
      <x:c r="J83" s="22"/>
      <x:c r="K83" s="22"/>
      <x:c r="L83" s="22"/>
      <x:c r="M83" s="22"/>
    </x:row>
    <x:row r="84" ht="22" customHeight="1">
      <x:c r="A84" s="18" t="n">
        <x:v>46289</x:v>
      </x:c>
      <x:c r="B84" t="str">
        <x:v>T0065</x:v>
      </x:c>
      <x:c r="C84" t="str">
        <x:v>매입</x:v>
      </x:c>
      <x:c r="D84" t="str">
        <x:v>동서식품상사</x:v>
      </x:c>
      <x:c r="E84" t="str">
        <x:v>초코바</x:v>
      </x:c>
      <x:c r="F84" t="n">
        <x:v>10</x:v>
      </x:c>
      <x:c r="G84" s="20" t="n">
        <x:v>700</x:v>
      </x:c>
      <x:c r="H84" t="str">
        <x:v>미지급</x:v>
      </x:c>
      <x:c r="I84"/>
      <x:c r="J84" s="22"/>
      <x:c r="K84" s="22"/>
      <x:c r="L84" s="22"/>
      <x:c r="M84" s="22"/>
    </x:row>
    <x:row r="85" ht="22" customHeight="1">
      <x:c r="A85" s="18" t="n">
        <x:v>46293</x:v>
      </x:c>
      <x:c r="B85" t="str">
        <x:v>T0066</x:v>
      </x:c>
      <x:c r="C85" t="str">
        <x:v>매출</x:v>
      </x:c>
      <x:c r="D85" t="str">
        <x:v>하나편의점</x:v>
      </x:c>
      <x:c r="E85" t="str">
        <x:v>생수 500ml</x:v>
      </x:c>
      <x:c r="F85" t="n">
        <x:v>17</x:v>
      </x:c>
      <x:c r="G85" s="20" t="n">
        <x:v>850</x:v>
      </x:c>
      <x:c r="H85" t="str">
        <x:v>완료</x:v>
      </x:c>
      <x:c r="I85"/>
      <x:c r="J85" s="22"/>
      <x:c r="K85" s="22"/>
      <x:c r="L85" s="22"/>
      <x:c r="M85" s="22"/>
    </x:row>
    <x:row r="86">
      <x:c r="J86" s="20"/>
      <x:c r="K86" s="20"/>
      <x:c r="L86" s="20"/>
      <x:c r="M86" s="20"/>
    </x:row>
    <x:row r="87" ht="26" customHeight="1">
      <x:c r="A87" s="26" t="str">
        <x:v>합계</x:v>
      </x:c>
      <x:c r="B87" s="26"/>
      <x:c r="C87" s="26"/>
      <x:c r="D87" s="26"/>
      <x:c r="E87" s="26"/>
      <x:c r="F87" s="26"/>
      <x:c r="G87" s="26"/>
      <x:c r="H87" s="26"/>
      <x:c r="I87" s="26"/>
      <x:c r="J87" s="27"/>
      <x:c r="K87" s="27"/>
      <x:c r="L87" s="27"/>
      <x:c r="M87" s="27"/>
    </x:row>
  </x:sheetData>
  <x:mergeCells>
    <x:mergeCell ref="A1:M2"/>
    <x:mergeCell ref="A3:M3"/>
  </x:mergeCells>
  <x:conditionalFormatting sqref="M6:M85">
    <x:cfRule type="cellIs" dxfId="0" priority="1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20ae5719cc34925"/>
  </x:tableParts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3" hidden="0" customWidth="1"/>
    <x:col min="3" max="3" width="11" hidden="0" customWidth="1"/>
    <x:col min="4" max="4" width="18" hidden="0" customWidth="1"/>
    <x:col min="5" max="5" width="20" hidden="0" customWidth="1"/>
    <x:col min="6" max="6" width="10" hidden="0" customWidth="1"/>
    <x:col min="7" max="7" width="14" hidden="0" customWidth="1"/>
    <x:col min="8" max="8" width="14" hidden="0" customWidth="1"/>
    <x:col min="9" max="9" width="14" hidden="0" customWidth="1"/>
    <x:col min="10" max="10" width="17" hidden="0" customWidth="1"/>
    <x:col min="11" max="11" width="15" hidden="0" customWidth="1"/>
    <x:col min="12" max="12" width="18" hidden="0" customWidth="1"/>
    <x:col min="13" max="13" width="18" hidden="0" customWidth="1"/>
  </x:cols>
  <x:sheetData>
    <x:row r="1" ht="25" customHeight="1">
      <x:c r="A1" s="3" t="str">
        <x:v>매출·매입 거래관리 원장  |  완성예시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 ht="26" customHeight="1">
      <x:c r="A3" s="7" t="str">
        <x:v>입력자료: 2026년 가상거래 80건 | J~M열을 계산하고 미수·미지급 거래를 확인합니다.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</x:row>
    <x:row r="5" ht="30" customHeight="1">
      <x:c r="A5" s="12" t="str">
        <x:v>거래일자</x:v>
      </x:c>
      <x:c r="B5" s="12" t="str">
        <x:v>거래번호</x:v>
      </x:c>
      <x:c r="C5" s="12" t="str">
        <x:v>구분</x:v>
      </x:c>
      <x:c r="D5" s="12" t="str">
        <x:v>거래처</x:v>
      </x:c>
      <x:c r="E5" s="12" t="str">
        <x:v>품목</x:v>
      </x:c>
      <x:c r="F5" s="12" t="str">
        <x:v>수량</x:v>
      </x:c>
      <x:c r="G5" s="12" t="str">
        <x:v>단가</x:v>
      </x:c>
      <x:c r="H5" s="12" t="str">
        <x:v>결제상태</x:v>
      </x:c>
      <x:c r="I5" s="12" t="str">
        <x:v>비고</x:v>
      </x:c>
      <x:c r="J5" s="12" t="str">
        <x:v>공급가액</x:v>
      </x:c>
      <x:c r="K5" s="12" t="str">
        <x:v>부가세</x:v>
      </x:c>
      <x:c r="L5" s="12" t="str">
        <x:v>합계금액</x:v>
      </x:c>
      <x:c r="M5" s="12" t="str">
        <x:v>미결제금액</x:v>
      </x:c>
    </x:row>
    <x:row r="6" ht="22" customHeight="1">
      <x:c r="A6" s="18" t="n">
        <x:v>46023</x:v>
      </x:c>
      <x:c r="B6" t="str">
        <x:v>T0001</x:v>
      </x:c>
      <x:c r="C6" t="str">
        <x:v>매출</x:v>
      </x:c>
      <x:c r="D6" t="str">
        <x:v>그린마트</x:v>
      </x:c>
      <x:c r="E6" t="str">
        <x:v>생수 500ml</x:v>
      </x:c>
      <x:c r="F6" t="n">
        <x:v>10</x:v>
      </x:c>
      <x:c r="G6" s="20" t="n">
        <x:v>850</x:v>
      </x:c>
      <x:c r="H6" t="str">
        <x:v>완료</x:v>
      </x:c>
      <x:c r="I6"/>
      <x:c r="J6" s="22" t="n">
        <x:f>F6*G6</x:f>
        <x:v>8500</x:v>
      </x:c>
      <x:c r="K6" s="22" t="n">
        <x:f>ROUND(J6*10%,0)</x:f>
        <x:v>850</x:v>
      </x:c>
      <x:c r="L6" s="22" t="n">
        <x:f>J6+K6</x:f>
        <x:v>9350</x:v>
      </x:c>
      <x:c r="M6" s="22" t="n">
        <x:f>IF(H6="완료",0,L6)</x:f>
        <x:v>0</x:v>
      </x:c>
    </x:row>
    <x:row r="7" ht="22" customHeight="1">
      <x:c r="A7" s="18" t="n">
        <x:v>46023</x:v>
      </x:c>
      <x:c r="B7" t="str">
        <x:v>T0067</x:v>
      </x:c>
      <x:c r="C7" t="str">
        <x:v>매출</x:v>
      </x:c>
      <x:c r="D7" t="str">
        <x:v>푸른유통</x:v>
      </x:c>
      <x:c r="E7" t="str">
        <x:v>감자칩</x:v>
      </x:c>
      <x:c r="F7" t="n">
        <x:v>24</x:v>
      </x:c>
      <x:c r="G7" s="20" t="n">
        <x:v>1950</x:v>
      </x:c>
      <x:c r="H7" t="str">
        <x:v>완료</x:v>
      </x:c>
      <x:c r="I7"/>
      <x:c r="J7" s="22" t="n">
        <x:f>F7*G7</x:f>
        <x:v>46800</x:v>
      </x:c>
      <x:c r="K7" s="22" t="n">
        <x:f>ROUND(J7*10%,0)</x:f>
        <x:v>4680</x:v>
      </x:c>
      <x:c r="L7" s="22" t="n">
        <x:f>J7+K7</x:f>
        <x:v>51480</x:v>
      </x:c>
      <x:c r="M7" s="22" t="n">
        <x:f>IF(H7="완료",0,L7)</x:f>
        <x:v>0</x:v>
      </x:c>
    </x:row>
    <x:row r="8" ht="22" customHeight="1">
      <x:c r="A8" s="18" t="n">
        <x:v>46027</x:v>
      </x:c>
      <x:c r="B8" t="str">
        <x:v>T0002</x:v>
      </x:c>
      <x:c r="C8" t="str">
        <x:v>매출</x:v>
      </x:c>
      <x:c r="D8" t="str">
        <x:v>하나편의점</x:v>
      </x:c>
      <x:c r="E8" t="str">
        <x:v>감자칩</x:v>
      </x:c>
      <x:c r="F8" t="n">
        <x:v>17</x:v>
      </x:c>
      <x:c r="G8" s="20" t="n">
        <x:v>1950</x:v>
      </x:c>
      <x:c r="H8" t="str">
        <x:v>미수</x:v>
      </x:c>
      <x:c r="I8"/>
      <x:c r="J8" s="22" t="n">
        <x:f>F8*G8</x:f>
        <x:v>33150</x:v>
      </x:c>
      <x:c r="K8" s="22" t="n">
        <x:f>ROUND(J8*10%,0)</x:f>
        <x:v>3315</x:v>
      </x:c>
      <x:c r="L8" s="22" t="n">
        <x:f>J8+K8</x:f>
        <x:v>36465</x:v>
      </x:c>
      <x:c r="M8" s="22" t="n">
        <x:f>IF(H8="완료",0,L8)</x:f>
        <x:v>36465</x:v>
      </x:c>
    </x:row>
    <x:row r="9" ht="22" customHeight="1">
      <x:c r="A9" s="18" t="n">
        <x:v>46027</x:v>
      </x:c>
      <x:c r="B9" t="str">
        <x:v>T0068</x:v>
      </x:c>
      <x:c r="C9" t="str">
        <x:v>매입</x:v>
      </x:c>
      <x:c r="D9" t="str">
        <x:v>정우상사</x:v>
      </x:c>
      <x:c r="E9" t="str">
        <x:v>물티슈 30매</x:v>
      </x:c>
      <x:c r="F9" t="n">
        <x:v>31</x:v>
      </x:c>
      <x:c r="G9" s="20" t="n">
        <x:v>920</x:v>
      </x:c>
      <x:c r="H9" t="str">
        <x:v>완료</x:v>
      </x:c>
      <x:c r="I9"/>
      <x:c r="J9" s="22" t="n">
        <x:f>F9*G9</x:f>
        <x:v>28520</x:v>
      </x:c>
      <x:c r="K9" s="22" t="n">
        <x:f>ROUND(J9*10%,0)</x:f>
        <x:v>2852</x:v>
      </x:c>
      <x:c r="L9" s="22" t="n">
        <x:f>J9+K9</x:f>
        <x:v>31372</x:v>
      </x:c>
      <x:c r="M9" s="22" t="n">
        <x:f>IF(H9="완료",0,L9)</x:f>
        <x:v>0</x:v>
      </x:c>
    </x:row>
    <x:row r="10" ht="22" customHeight="1">
      <x:c r="A10" s="18" t="n">
        <x:v>46031</x:v>
      </x:c>
      <x:c r="B10" t="str">
        <x:v>T0003</x:v>
      </x:c>
      <x:c r="C10" t="str">
        <x:v>매입</x:v>
      </x:c>
      <x:c r="D10" t="str">
        <x:v>중앙물산</x:v>
      </x:c>
      <x:c r="E10" t="str">
        <x:v>물티슈 30매</x:v>
      </x:c>
      <x:c r="F10" t="n">
        <x:v>24</x:v>
      </x:c>
      <x:c r="G10" s="20" t="n">
        <x:v>920</x:v>
      </x:c>
      <x:c r="H10" t="str">
        <x:v>완료</x:v>
      </x:c>
      <x:c r="I10"/>
      <x:c r="J10" s="22" t="n">
        <x:f>F10*G10</x:f>
        <x:v>22080</x:v>
      </x:c>
      <x:c r="K10" s="22" t="n">
        <x:f>ROUND(J10*10%,0)</x:f>
        <x:v>2208</x:v>
      </x:c>
      <x:c r="L10" s="22" t="n">
        <x:f>J10+K10</x:f>
        <x:v>24288</x:v>
      </x:c>
      <x:c r="M10" s="22" t="n">
        <x:f>IF(H10="완료",0,L10)</x:f>
        <x:v>0</x:v>
      </x:c>
    </x:row>
    <x:row r="11" ht="22" customHeight="1">
      <x:c r="A11" s="18" t="n">
        <x:v>46031</x:v>
      </x:c>
      <x:c r="B11" t="str">
        <x:v>T0069</x:v>
      </x:c>
      <x:c r="C11" t="str">
        <x:v>매출</x:v>
      </x:c>
      <x:c r="D11" t="str">
        <x:v>미래식품</x:v>
      </x:c>
      <x:c r="E11" t="str">
        <x:v>캔커피</x:v>
      </x:c>
      <x:c r="F11" t="n">
        <x:v>38</x:v>
      </x:c>
      <x:c r="G11" s="20" t="n">
        <x:v>1200</x:v>
      </x:c>
      <x:c r="H11" t="str">
        <x:v>미수</x:v>
      </x:c>
      <x:c r="I11"/>
      <x:c r="J11" s="22" t="n">
        <x:f>F11*G11</x:f>
        <x:v>45600</x:v>
      </x:c>
      <x:c r="K11" s="22" t="n">
        <x:f>ROUND(J11*10%,0)</x:f>
        <x:v>4560</x:v>
      </x:c>
      <x:c r="L11" s="22" t="n">
        <x:f>J11+K11</x:f>
        <x:v>50160</x:v>
      </x:c>
      <x:c r="M11" s="22" t="n">
        <x:f>IF(H11="완료",0,L11)</x:f>
        <x:v>50160</x:v>
      </x:c>
    </x:row>
    <x:row r="12" ht="22" customHeight="1">
      <x:c r="A12" s="18" t="n">
        <x:v>46035</x:v>
      </x:c>
      <x:c r="B12" t="str">
        <x:v>T0004</x:v>
      </x:c>
      <x:c r="C12" t="str">
        <x:v>매출</x:v>
      </x:c>
      <x:c r="D12" t="str">
        <x:v>그린마트</x:v>
      </x:c>
      <x:c r="E12" t="str">
        <x:v>캔커피</x:v>
      </x:c>
      <x:c r="F12" t="n">
        <x:v>31</x:v>
      </x:c>
      <x:c r="G12" s="20" t="n">
        <x:v>1200</x:v>
      </x:c>
      <x:c r="H12" t="str">
        <x:v>완료</x:v>
      </x:c>
      <x:c r="I12"/>
      <x:c r="J12" s="22" t="n">
        <x:f>F12*G12</x:f>
        <x:v>37200</x:v>
      </x:c>
      <x:c r="K12" s="22" t="n">
        <x:f>ROUND(J12*10%,0)</x:f>
        <x:v>3720</x:v>
      </x:c>
      <x:c r="L12" s="22" t="n">
        <x:f>J12+K12</x:f>
        <x:v>40920</x:v>
      </x:c>
      <x:c r="M12" s="22" t="n">
        <x:f>IF(H12="완료",0,L12)</x:f>
        <x:v>0</x:v>
      </x:c>
    </x:row>
    <x:row r="13" ht="22" customHeight="1">
      <x:c r="A13" s="18" t="n">
        <x:v>46035</x:v>
      </x:c>
      <x:c r="B13" t="str">
        <x:v>T0070</x:v>
      </x:c>
      <x:c r="C13" t="str">
        <x:v>매입</x:v>
      </x:c>
      <x:c r="D13" t="str">
        <x:v>중앙물산</x:v>
      </x:c>
      <x:c r="E13" t="str">
        <x:v>초코바</x:v>
      </x:c>
      <x:c r="F13" t="n">
        <x:v>45</x:v>
      </x:c>
      <x:c r="G13" s="20" t="n">
        <x:v>700</x:v>
      </x:c>
      <x:c r="H13" t="str">
        <x:v>완료</x:v>
      </x:c>
      <x:c r="I13"/>
      <x:c r="J13" s="22" t="n">
        <x:f>F13*G13</x:f>
        <x:v>31500</x:v>
      </x:c>
      <x:c r="K13" s="22" t="n">
        <x:f>ROUND(J13*10%,0)</x:f>
        <x:v>3150</x:v>
      </x:c>
      <x:c r="L13" s="22" t="n">
        <x:f>J13+K13</x:f>
        <x:v>34650</x:v>
      </x:c>
      <x:c r="M13" s="22" t="n">
        <x:f>IF(H13="완료",0,L13)</x:f>
        <x:v>0</x:v>
      </x:c>
    </x:row>
    <x:row r="14" ht="22" customHeight="1">
      <x:c r="A14" s="18" t="n">
        <x:v>46039</x:v>
      </x:c>
      <x:c r="B14" t="str">
        <x:v>T0005</x:v>
      </x:c>
      <x:c r="C14" t="str">
        <x:v>매입</x:v>
      </x:c>
      <x:c r="D14" t="str">
        <x:v>정우상사</x:v>
      </x:c>
      <x:c r="E14" t="str">
        <x:v>초코바</x:v>
      </x:c>
      <x:c r="F14" t="n">
        <x:v>38</x:v>
      </x:c>
      <x:c r="G14" s="20" t="n">
        <x:v>700</x:v>
      </x:c>
      <x:c r="H14" t="str">
        <x:v>완료</x:v>
      </x:c>
      <x:c r="I14"/>
      <x:c r="J14" s="22" t="n">
        <x:f>F14*G14</x:f>
        <x:v>26600</x:v>
      </x:c>
      <x:c r="K14" s="22" t="n">
        <x:f>ROUND(J14*10%,0)</x:f>
        <x:v>2660</x:v>
      </x:c>
      <x:c r="L14" s="22" t="n">
        <x:f>J14+K14</x:f>
        <x:v>29260</x:v>
      </x:c>
      <x:c r="M14" s="22" t="n">
        <x:f>IF(H14="완료",0,L14)</x:f>
        <x:v>0</x:v>
      </x:c>
    </x:row>
    <x:row r="15" ht="22" customHeight="1">
      <x:c r="A15" s="18" t="n">
        <x:v>46039</x:v>
      </x:c>
      <x:c r="B15" t="str">
        <x:v>T0071</x:v>
      </x:c>
      <x:c r="C15" t="str">
        <x:v>매출</x:v>
      </x:c>
      <x:c r="D15" t="str">
        <x:v>대성상회</x:v>
      </x:c>
      <x:c r="E15" t="str">
        <x:v>생수 500ml</x:v>
      </x:c>
      <x:c r="F15" t="n">
        <x:v>52</x:v>
      </x:c>
      <x:c r="G15" s="20" t="n">
        <x:v>850</x:v>
      </x:c>
      <x:c r="H15" t="str">
        <x:v>완료</x:v>
      </x:c>
      <x:c r="I15"/>
      <x:c r="J15" s="22" t="n">
        <x:f>F15*G15</x:f>
        <x:v>44200</x:v>
      </x:c>
      <x:c r="K15" s="22" t="n">
        <x:f>ROUND(J15*10%,0)</x:f>
        <x:v>4420</x:v>
      </x:c>
      <x:c r="L15" s="22" t="n">
        <x:f>J15+K15</x:f>
        <x:v>48620</x:v>
      </x:c>
      <x:c r="M15" s="22" t="n">
        <x:f>IF(H15="완료",0,L15)</x:f>
        <x:v>0</x:v>
      </x:c>
    </x:row>
    <x:row r="16" ht="22" customHeight="1">
      <x:c r="A16" s="18" t="n">
        <x:v>46043</x:v>
      </x:c>
      <x:c r="B16" t="str">
        <x:v>T0006</x:v>
      </x:c>
      <x:c r="C16" t="str">
        <x:v>매출</x:v>
      </x:c>
      <x:c r="D16" t="str">
        <x:v>우리상사</x:v>
      </x:c>
      <x:c r="E16" t="str">
        <x:v>생수 500ml</x:v>
      </x:c>
      <x:c r="F16" t="n">
        <x:v>45</x:v>
      </x:c>
      <x:c r="G16" s="20" t="n">
        <x:v>850</x:v>
      </x:c>
      <x:c r="H16" t="str">
        <x:v>미수</x:v>
      </x:c>
      <x:c r="I16"/>
      <x:c r="J16" s="22" t="n">
        <x:f>F16*G16</x:f>
        <x:v>38250</x:v>
      </x:c>
      <x:c r="K16" s="22" t="n">
        <x:f>ROUND(J16*10%,0)</x:f>
        <x:v>3825</x:v>
      </x:c>
      <x:c r="L16" s="22" t="n">
        <x:f>J16+K16</x:f>
        <x:v>42075</x:v>
      </x:c>
      <x:c r="M16" s="22" t="n">
        <x:f>IF(H16="완료",0,L16)</x:f>
        <x:v>42075</x:v>
      </x:c>
    </x:row>
    <x:row r="17" ht="22" customHeight="1">
      <x:c r="A17" s="18" t="n">
        <x:v>46043</x:v>
      </x:c>
      <x:c r="B17" t="str">
        <x:v>T0072</x:v>
      </x:c>
      <x:c r="C17" t="str">
        <x:v>매출</x:v>
      </x:c>
      <x:c r="D17" t="str">
        <x:v>미래식품</x:v>
      </x:c>
      <x:c r="E17" t="str">
        <x:v>감자칩</x:v>
      </x:c>
      <x:c r="F17" t="n">
        <x:v>59</x:v>
      </x:c>
      <x:c r="G17" s="20" t="n">
        <x:v>1950</x:v>
      </x:c>
      <x:c r="H17" t="str">
        <x:v>미수</x:v>
      </x:c>
      <x:c r="I17"/>
      <x:c r="J17" s="22" t="n">
        <x:f>F17*G17</x:f>
        <x:v>115050</x:v>
      </x:c>
      <x:c r="K17" s="22" t="n">
        <x:f>ROUND(J17*10%,0)</x:f>
        <x:v>11505</x:v>
      </x:c>
      <x:c r="L17" s="22" t="n">
        <x:f>J17+K17</x:f>
        <x:v>126555</x:v>
      </x:c>
      <x:c r="M17" s="22" t="n">
        <x:f>IF(H17="완료",0,L17)</x:f>
        <x:v>126555</x:v>
      </x:c>
    </x:row>
    <x:row r="18" ht="22" customHeight="1">
      <x:c r="A18" s="18" t="n">
        <x:v>46048</x:v>
      </x:c>
      <x:c r="B18" t="str">
        <x:v>T0007</x:v>
      </x:c>
      <x:c r="C18" t="str">
        <x:v>매출</x:v>
      </x:c>
      <x:c r="D18" t="str">
        <x:v>대성상회</x:v>
      </x:c>
      <x:c r="E18" t="str">
        <x:v>감자칩</x:v>
      </x:c>
      <x:c r="F18" t="n">
        <x:v>52</x:v>
      </x:c>
      <x:c r="G18" s="20" t="n">
        <x:v>1950</x:v>
      </x:c>
      <x:c r="H18" t="str">
        <x:v>완료</x:v>
      </x:c>
      <x:c r="I18"/>
      <x:c r="J18" s="22" t="n">
        <x:f>F18*G18</x:f>
        <x:v>101400</x:v>
      </x:c>
      <x:c r="K18" s="22" t="n">
        <x:f>ROUND(J18*10%,0)</x:f>
        <x:v>10140</x:v>
      </x:c>
      <x:c r="L18" s="22" t="n">
        <x:f>J18+K18</x:f>
        <x:v>111540</x:v>
      </x:c>
      <x:c r="M18" s="22" t="n">
        <x:f>IF(H18="완료",0,L18)</x:f>
        <x:v>0</x:v>
      </x:c>
    </x:row>
    <x:row r="19" ht="22" customHeight="1">
      <x:c r="A19" s="18" t="n">
        <x:v>46048</x:v>
      </x:c>
      <x:c r="B19" t="str">
        <x:v>T0073</x:v>
      </x:c>
      <x:c r="C19" t="str">
        <x:v>매입</x:v>
      </x:c>
      <x:c r="D19" t="str">
        <x:v>한빛유통</x:v>
      </x:c>
      <x:c r="E19" t="str">
        <x:v>물티슈 30매</x:v>
      </x:c>
      <x:c r="F19" t="n">
        <x:v>66</x:v>
      </x:c>
      <x:c r="G19" s="20" t="n">
        <x:v>920</x:v>
      </x:c>
      <x:c r="H19" t="str">
        <x:v>완료</x:v>
      </x:c>
      <x:c r="I19"/>
      <x:c r="J19" s="22" t="n">
        <x:f>F19*G19</x:f>
        <x:v>60720</x:v>
      </x:c>
      <x:c r="K19" s="22" t="n">
        <x:f>ROUND(J19*10%,0)</x:f>
        <x:v>6072</x:v>
      </x:c>
      <x:c r="L19" s="22" t="n">
        <x:f>J19+K19</x:f>
        <x:v>66792</x:v>
      </x:c>
      <x:c r="M19" s="22" t="n">
        <x:f>IF(H19="완료",0,L19)</x:f>
        <x:v>0</x:v>
      </x:c>
    </x:row>
    <x:row r="20" ht="22" customHeight="1">
      <x:c r="A20" s="18" t="n">
        <x:v>46052</x:v>
      </x:c>
      <x:c r="B20" t="str">
        <x:v>T0008</x:v>
      </x:c>
      <x:c r="C20" t="str">
        <x:v>매입</x:v>
      </x:c>
      <x:c r="D20" t="str">
        <x:v>새롬포장</x:v>
      </x:c>
      <x:c r="E20" t="str">
        <x:v>물티슈 30매</x:v>
      </x:c>
      <x:c r="F20" t="n">
        <x:v>59</x:v>
      </x:c>
      <x:c r="G20" s="20" t="n">
        <x:v>920</x:v>
      </x:c>
      <x:c r="H20" t="str">
        <x:v>완료</x:v>
      </x:c>
      <x:c r="I20"/>
      <x:c r="J20" s="22" t="n">
        <x:f>F20*G20</x:f>
        <x:v>54280</x:v>
      </x:c>
      <x:c r="K20" s="22" t="n">
        <x:f>ROUND(J20*10%,0)</x:f>
        <x:v>5428</x:v>
      </x:c>
      <x:c r="L20" s="22" t="n">
        <x:f>J20+K20</x:f>
        <x:v>59708</x:v>
      </x:c>
      <x:c r="M20" s="22" t="n">
        <x:f>IF(H20="완료",0,L20)</x:f>
        <x:v>0</x:v>
      </x:c>
    </x:row>
    <x:row r="21" ht="22" customHeight="1">
      <x:c r="A21" s="18" t="n">
        <x:v>46052</x:v>
      </x:c>
      <x:c r="B21" t="str">
        <x:v>T0074</x:v>
      </x:c>
      <x:c r="C21" t="str">
        <x:v>매출</x:v>
      </x:c>
      <x:c r="D21" t="str">
        <x:v>하나편의점</x:v>
      </x:c>
      <x:c r="E21" t="str">
        <x:v>캔커피</x:v>
      </x:c>
      <x:c r="F21" t="n">
        <x:v>73</x:v>
      </x:c>
      <x:c r="G21" s="20" t="n">
        <x:v>1200</x:v>
      </x:c>
      <x:c r="H21" t="str">
        <x:v>완료</x:v>
      </x:c>
      <x:c r="I21"/>
      <x:c r="J21" s="22" t="n">
        <x:f>F21*G21</x:f>
        <x:v>87600</x:v>
      </x:c>
      <x:c r="K21" s="22" t="n">
        <x:f>ROUND(J21*10%,0)</x:f>
        <x:v>8760</x:v>
      </x:c>
      <x:c r="L21" s="22" t="n">
        <x:f>J21+K21</x:f>
        <x:v>96360</x:v>
      </x:c>
      <x:c r="M21" s="22" t="n">
        <x:f>IF(H21="완료",0,L21)</x:f>
        <x:v>0</x:v>
      </x:c>
    </x:row>
    <x:row r="22" ht="22" customHeight="1">
      <x:c r="A22" s="18" t="n">
        <x:v>46056</x:v>
      </x:c>
      <x:c r="B22" t="str">
        <x:v>T0009</x:v>
      </x:c>
      <x:c r="C22" t="str">
        <x:v>매출</x:v>
      </x:c>
      <x:c r="D22" t="str">
        <x:v>그린마트</x:v>
      </x:c>
      <x:c r="E22" t="str">
        <x:v>캔커피</x:v>
      </x:c>
      <x:c r="F22" t="n">
        <x:v>66</x:v>
      </x:c>
      <x:c r="G22" s="20" t="n">
        <x:v>1200</x:v>
      </x:c>
      <x:c r="H22" t="str">
        <x:v>미수</x:v>
      </x:c>
      <x:c r="I22"/>
      <x:c r="J22" s="22" t="n">
        <x:f>F22*G22</x:f>
        <x:v>79200</x:v>
      </x:c>
      <x:c r="K22" s="22" t="n">
        <x:f>ROUND(J22*10%,0)</x:f>
        <x:v>7920</x:v>
      </x:c>
      <x:c r="L22" s="22" t="n">
        <x:f>J22+K22</x:f>
        <x:v>87120</x:v>
      </x:c>
      <x:c r="M22" s="22" t="n">
        <x:f>IF(H22="완료",0,L22)</x:f>
        <x:v>87120</x:v>
      </x:c>
    </x:row>
    <x:row r="23" ht="22" customHeight="1">
      <x:c r="A23" s="18" t="n">
        <x:v>46056</x:v>
      </x:c>
      <x:c r="B23" t="str">
        <x:v>T0075</x:v>
      </x:c>
      <x:c r="C23" t="str">
        <x:v>매입</x:v>
      </x:c>
      <x:c r="D23" t="str">
        <x:v>중앙물산</x:v>
      </x:c>
      <x:c r="E23" t="str">
        <x:v>초코바</x:v>
      </x:c>
      <x:c r="F23" t="n">
        <x:v>16</x:v>
      </x:c>
      <x:c r="G23" s="20" t="n">
        <x:v>700</x:v>
      </x:c>
      <x:c r="H23" t="str">
        <x:v>완료</x:v>
      </x:c>
      <x:c r="I23"/>
      <x:c r="J23" s="22" t="n">
        <x:f>F23*G23</x:f>
        <x:v>11200</x:v>
      </x:c>
      <x:c r="K23" s="22" t="n">
        <x:f>ROUND(J23*10%,0)</x:f>
        <x:v>1120</x:v>
      </x:c>
      <x:c r="L23" s="22" t="n">
        <x:f>J23+K23</x:f>
        <x:v>12320</x:v>
      </x:c>
      <x:c r="M23" s="22" t="n">
        <x:f>IF(H23="완료",0,L23)</x:f>
        <x:v>0</x:v>
      </x:c>
    </x:row>
    <x:row r="24" ht="22" customHeight="1">
      <x:c r="A24" s="18" t="n">
        <x:v>46060</x:v>
      </x:c>
      <x:c r="B24" t="str">
        <x:v>T0010</x:v>
      </x:c>
      <x:c r="C24" t="str">
        <x:v>매입</x:v>
      </x:c>
      <x:c r="D24" t="str">
        <x:v>한빛유통</x:v>
      </x:c>
      <x:c r="E24" t="str">
        <x:v>초코바</x:v>
      </x:c>
      <x:c r="F24" t="n">
        <x:v>73</x:v>
      </x:c>
      <x:c r="G24" s="20" t="n">
        <x:v>700</x:v>
      </x:c>
      <x:c r="H24" t="str">
        <x:v>완료</x:v>
      </x:c>
      <x:c r="I24"/>
      <x:c r="J24" s="22" t="n">
        <x:f>F24*G24</x:f>
        <x:v>51100</x:v>
      </x:c>
      <x:c r="K24" s="22" t="n">
        <x:f>ROUND(J24*10%,0)</x:f>
        <x:v>5110</x:v>
      </x:c>
      <x:c r="L24" s="22" t="n">
        <x:f>J24+K24</x:f>
        <x:v>56210</x:v>
      </x:c>
      <x:c r="M24" s="22" t="n">
        <x:f>IF(H24="완료",0,L24)</x:f>
        <x:v>0</x:v>
      </x:c>
    </x:row>
    <x:row r="25" ht="22" customHeight="1">
      <x:c r="A25" s="18" t="n">
        <x:v>46060</x:v>
      </x:c>
      <x:c r="B25" t="str">
        <x:v>T0076</x:v>
      </x:c>
      <x:c r="C25" t="str">
        <x:v>매출</x:v>
      </x:c>
      <x:c r="D25" t="str">
        <x:v>그린마트</x:v>
      </x:c>
      <x:c r="E25" t="str">
        <x:v>생수 500ml</x:v>
      </x:c>
      <x:c r="F25" t="n">
        <x:v>23</x:v>
      </x:c>
      <x:c r="G25" s="20" t="n">
        <x:v>850</x:v>
      </x:c>
      <x:c r="H25" t="str">
        <x:v>미수</x:v>
      </x:c>
      <x:c r="I25"/>
      <x:c r="J25" s="22" t="n">
        <x:f>F25*G25</x:f>
        <x:v>19550</x:v>
      </x:c>
      <x:c r="K25" s="22" t="n">
        <x:f>ROUND(J25*10%,0)</x:f>
        <x:v>1955</x:v>
      </x:c>
      <x:c r="L25" s="22" t="n">
        <x:f>J25+K25</x:f>
        <x:v>21505</x:v>
      </x:c>
      <x:c r="M25" s="22" t="n">
        <x:f>IF(H25="완료",0,L25)</x:f>
        <x:v>21505</x:v>
      </x:c>
    </x:row>
    <x:row r="26" ht="22" customHeight="1">
      <x:c r="A26" s="18" t="n">
        <x:v>46064</x:v>
      </x:c>
      <x:c r="B26" t="str">
        <x:v>T0011</x:v>
      </x:c>
      <x:c r="C26" t="str">
        <x:v>매출</x:v>
      </x:c>
      <x:c r="D26" t="str">
        <x:v>푸른유통</x:v>
      </x:c>
      <x:c r="E26" t="str">
        <x:v>생수 500ml</x:v>
      </x:c>
      <x:c r="F26" t="n">
        <x:v>16</x:v>
      </x:c>
      <x:c r="G26" s="20" t="n">
        <x:v>850</x:v>
      </x:c>
      <x:c r="H26" t="str">
        <x:v>완료</x:v>
      </x:c>
      <x:c r="I26"/>
      <x:c r="J26" s="22" t="n">
        <x:f>F26*G26</x:f>
        <x:v>13600</x:v>
      </x:c>
      <x:c r="K26" s="22" t="n">
        <x:f>ROUND(J26*10%,0)</x:f>
        <x:v>1360</x:v>
      </x:c>
      <x:c r="L26" s="22" t="n">
        <x:f>J26+K26</x:f>
        <x:v>14960</x:v>
      </x:c>
      <x:c r="M26" s="22" t="n">
        <x:f>IF(H26="완료",0,L26)</x:f>
        <x:v>0</x:v>
      </x:c>
    </x:row>
    <x:row r="27" ht="22" customHeight="1">
      <x:c r="A27" s="18" t="n">
        <x:v>46064</x:v>
      </x:c>
      <x:c r="B27" t="str">
        <x:v>T0077</x:v>
      </x:c>
      <x:c r="C27" t="str">
        <x:v>매출</x:v>
      </x:c>
      <x:c r="D27" t="str">
        <x:v>미래식품</x:v>
      </x:c>
      <x:c r="E27" t="str">
        <x:v>감자칩</x:v>
      </x:c>
      <x:c r="F27" t="n">
        <x:v>30</x:v>
      </x:c>
      <x:c r="G27" s="20" t="n">
        <x:v>1950</x:v>
      </x:c>
      <x:c r="H27" t="str">
        <x:v>완료</x:v>
      </x:c>
      <x:c r="I27"/>
      <x:c r="J27" s="22" t="n">
        <x:f>F27*G27</x:f>
        <x:v>58500</x:v>
      </x:c>
      <x:c r="K27" s="22" t="n">
        <x:f>ROUND(J27*10%,0)</x:f>
        <x:v>5850</x:v>
      </x:c>
      <x:c r="L27" s="22" t="n">
        <x:f>J27+K27</x:f>
        <x:v>64350</x:v>
      </x:c>
      <x:c r="M27" s="22" t="n">
        <x:f>IF(H27="완료",0,L27)</x:f>
        <x:v>0</x:v>
      </x:c>
    </x:row>
    <x:row r="28" ht="22" customHeight="1">
      <x:c r="A28" s="18" t="n">
        <x:v>46068</x:v>
      </x:c>
      <x:c r="B28" t="str">
        <x:v>T0012</x:v>
      </x:c>
      <x:c r="C28" t="str">
        <x:v>매출</x:v>
      </x:c>
      <x:c r="D28" t="str">
        <x:v>그린마트</x:v>
      </x:c>
      <x:c r="E28" t="str">
        <x:v>감자칩</x:v>
      </x:c>
      <x:c r="F28" t="n">
        <x:v>23</x:v>
      </x:c>
      <x:c r="G28" s="20" t="n">
        <x:v>1950</x:v>
      </x:c>
      <x:c r="H28" t="str">
        <x:v>완료</x:v>
      </x:c>
      <x:c r="I28"/>
      <x:c r="J28" s="22" t="n">
        <x:f>F28*G28</x:f>
        <x:v>44850</x:v>
      </x:c>
      <x:c r="K28" s="22" t="n">
        <x:f>ROUND(J28*10%,0)</x:f>
        <x:v>4485</x:v>
      </x:c>
      <x:c r="L28" s="22" t="n">
        <x:f>J28+K28</x:f>
        <x:v>49335</x:v>
      </x:c>
      <x:c r="M28" s="22" t="n">
        <x:f>IF(H28="완료",0,L28)</x:f>
        <x:v>0</x:v>
      </x:c>
    </x:row>
    <x:row r="29" ht="22" customHeight="1">
      <x:c r="A29" s="18" t="n">
        <x:v>46068</x:v>
      </x:c>
      <x:c r="B29" t="str">
        <x:v>T0078</x:v>
      </x:c>
      <x:c r="C29" t="str">
        <x:v>매입</x:v>
      </x:c>
      <x:c r="D29" t="str">
        <x:v>한빛유통</x:v>
      </x:c>
      <x:c r="E29" t="str">
        <x:v>물티슈 30매</x:v>
      </x:c>
      <x:c r="F29" t="n">
        <x:v>37</x:v>
      </x:c>
      <x:c r="G29" s="20" t="n">
        <x:v>920</x:v>
      </x:c>
      <x:c r="H29" t="str">
        <x:v>완료</x:v>
      </x:c>
      <x:c r="I29"/>
      <x:c r="J29" s="22" t="n">
        <x:f>F29*G29</x:f>
        <x:v>34040</x:v>
      </x:c>
      <x:c r="K29" s="22" t="n">
        <x:f>ROUND(J29*10%,0)</x:f>
        <x:v>3404</x:v>
      </x:c>
      <x:c r="L29" s="22" t="n">
        <x:f>J29+K29</x:f>
        <x:v>37444</x:v>
      </x:c>
      <x:c r="M29" s="22" t="n">
        <x:f>IF(H29="완료",0,L29)</x:f>
        <x:v>0</x:v>
      </x:c>
    </x:row>
    <x:row r="30" ht="22" customHeight="1">
      <x:c r="A30" s="18" t="n">
        <x:v>46073</x:v>
      </x:c>
      <x:c r="B30" t="str">
        <x:v>T0013</x:v>
      </x:c>
      <x:c r="C30" t="str">
        <x:v>매입</x:v>
      </x:c>
      <x:c r="D30" t="str">
        <x:v>다온산업</x:v>
      </x:c>
      <x:c r="E30" t="str">
        <x:v>물티슈 30매</x:v>
      </x:c>
      <x:c r="F30" t="n">
        <x:v>30</x:v>
      </x:c>
      <x:c r="G30" s="20" t="n">
        <x:v>920</x:v>
      </x:c>
      <x:c r="H30" t="str">
        <x:v>미지급</x:v>
      </x:c>
      <x:c r="I30"/>
      <x:c r="J30" s="22" t="n">
        <x:f>F30*G30</x:f>
        <x:v>27600</x:v>
      </x:c>
      <x:c r="K30" s="22" t="n">
        <x:f>ROUND(J30*10%,0)</x:f>
        <x:v>2760</x:v>
      </x:c>
      <x:c r="L30" s="22" t="n">
        <x:f>J30+K30</x:f>
        <x:v>30360</x:v>
      </x:c>
      <x:c r="M30" s="22" t="n">
        <x:f>IF(H30="완료",0,L30)</x:f>
        <x:v>30360</x:v>
      </x:c>
    </x:row>
    <x:row r="31" ht="22" customHeight="1">
      <x:c r="A31" s="18" t="n">
        <x:v>46073</x:v>
      </x:c>
      <x:c r="B31" t="str">
        <x:v>T0079</x:v>
      </x:c>
      <x:c r="C31" t="str">
        <x:v>매출</x:v>
      </x:c>
      <x:c r="D31" t="str">
        <x:v>대성상회</x:v>
      </x:c>
      <x:c r="E31" t="str">
        <x:v>캔커피</x:v>
      </x:c>
      <x:c r="F31" t="n">
        <x:v>44</x:v>
      </x:c>
      <x:c r="G31" s="20" t="n">
        <x:v>1200</x:v>
      </x:c>
      <x:c r="H31" t="str">
        <x:v>미수</x:v>
      </x:c>
      <x:c r="I31"/>
      <x:c r="J31" s="22" t="n">
        <x:f>F31*G31</x:f>
        <x:v>52800</x:v>
      </x:c>
      <x:c r="K31" s="22" t="n">
        <x:f>ROUND(J31*10%,0)</x:f>
        <x:v>5280</x:v>
      </x:c>
      <x:c r="L31" s="22" t="n">
        <x:f>J31+K31</x:f>
        <x:v>58080</x:v>
      </x:c>
      <x:c r="M31" s="22" t="n">
        <x:f>IF(H31="완료",0,L31)</x:f>
        <x:v>58080</x:v>
      </x:c>
    </x:row>
    <x:row r="32" ht="22" customHeight="1">
      <x:c r="A32" s="18" t="n">
        <x:v>46077</x:v>
      </x:c>
      <x:c r="B32" t="str">
        <x:v>T0014</x:v>
      </x:c>
      <x:c r="C32" t="str">
        <x:v>매출</x:v>
      </x:c>
      <x:c r="D32" t="str">
        <x:v>우리상사</x:v>
      </x:c>
      <x:c r="E32" t="str">
        <x:v>캔커피</x:v>
      </x:c>
      <x:c r="F32" t="n">
        <x:v>37</x:v>
      </x:c>
      <x:c r="G32" s="20" t="n">
        <x:v>1200</x:v>
      </x:c>
      <x:c r="H32" t="str">
        <x:v>완료</x:v>
      </x:c>
      <x:c r="I32"/>
      <x:c r="J32" s="22" t="n">
        <x:f>F32*G32</x:f>
        <x:v>44400</x:v>
      </x:c>
      <x:c r="K32" s="22" t="n">
        <x:f>ROUND(J32*10%,0)</x:f>
        <x:v>4440</x:v>
      </x:c>
      <x:c r="L32" s="22" t="n">
        <x:f>J32+K32</x:f>
        <x:v>48840</x:v>
      </x:c>
      <x:c r="M32" s="22" t="n">
        <x:f>IF(H32="완료",0,L32)</x:f>
        <x:v>0</x:v>
      </x:c>
    </x:row>
    <x:row r="33" ht="22" customHeight="1">
      <x:c r="A33" s="18" t="n">
        <x:v>46077</x:v>
      </x:c>
      <x:c r="B33" t="str">
        <x:v>T0080</x:v>
      </x:c>
      <x:c r="C33" t="str">
        <x:v>매입</x:v>
      </x:c>
      <x:c r="D33" t="str">
        <x:v>새롬포장</x:v>
      </x:c>
      <x:c r="E33" t="str">
        <x:v>초코바</x:v>
      </x:c>
      <x:c r="F33" t="n">
        <x:v>51</x:v>
      </x:c>
      <x:c r="G33" s="20" t="n">
        <x:v>700</x:v>
      </x:c>
      <x:c r="H33" t="str">
        <x:v>완료</x:v>
      </x:c>
      <x:c r="I33"/>
      <x:c r="J33" s="22" t="n">
        <x:f>F33*G33</x:f>
        <x:v>35700</x:v>
      </x:c>
      <x:c r="K33" s="22" t="n">
        <x:f>ROUND(J33*10%,0)</x:f>
        <x:v>3570</x:v>
      </x:c>
      <x:c r="L33" s="22" t="n">
        <x:f>J33+K33</x:f>
        <x:v>39270</x:v>
      </x:c>
      <x:c r="M33" s="22" t="n">
        <x:f>IF(H33="완료",0,L33)</x:f>
        <x:v>0</x:v>
      </x:c>
    </x:row>
    <x:row r="34" ht="22" customHeight="1">
      <x:c r="A34" s="18" t="n">
        <x:v>46081</x:v>
      </x:c>
      <x:c r="B34" t="str">
        <x:v>T0015</x:v>
      </x:c>
      <x:c r="C34" t="str">
        <x:v>매입</x:v>
      </x:c>
      <x:c r="D34" t="str">
        <x:v>한빛유통</x:v>
      </x:c>
      <x:c r="E34" t="str">
        <x:v>초코바</x:v>
      </x:c>
      <x:c r="F34" t="n">
        <x:v>44</x:v>
      </x:c>
      <x:c r="G34" s="20" t="n">
        <x:v>700</x:v>
      </x:c>
      <x:c r="H34" t="str">
        <x:v>완료</x:v>
      </x:c>
      <x:c r="I34"/>
      <x:c r="J34" s="22" t="n">
        <x:f>F34*G34</x:f>
        <x:v>30800</x:v>
      </x:c>
      <x:c r="K34" s="22" t="n">
        <x:f>ROUND(J34*10%,0)</x:f>
        <x:v>3080</x:v>
      </x:c>
      <x:c r="L34" s="22" t="n">
        <x:f>J34+K34</x:f>
        <x:v>33880</x:v>
      </x:c>
      <x:c r="M34" s="22" t="n">
        <x:f>IF(H34="완료",0,L34)</x:f>
        <x:v>0</x:v>
      </x:c>
    </x:row>
    <x:row r="35" ht="22" customHeight="1">
      <x:c r="A35" s="18" t="n">
        <x:v>46085</x:v>
      </x:c>
      <x:c r="B35" t="str">
        <x:v>T0016</x:v>
      </x:c>
      <x:c r="C35" t="str">
        <x:v>매출</x:v>
      </x:c>
      <x:c r="D35" t="str">
        <x:v>미래식품</x:v>
      </x:c>
      <x:c r="E35" t="str">
        <x:v>생수 500ml</x:v>
      </x:c>
      <x:c r="F35" t="n">
        <x:v>51</x:v>
      </x:c>
      <x:c r="G35" s="20" t="n">
        <x:v>850</x:v>
      </x:c>
      <x:c r="H35" t="str">
        <x:v>미수</x:v>
      </x:c>
      <x:c r="I35"/>
      <x:c r="J35" s="22" t="n">
        <x:f>F35*G35</x:f>
        <x:v>43350</x:v>
      </x:c>
      <x:c r="K35" s="22" t="n">
        <x:f>ROUND(J35*10%,0)</x:f>
        <x:v>4335</x:v>
      </x:c>
      <x:c r="L35" s="22" t="n">
        <x:f>J35+K35</x:f>
        <x:v>47685</x:v>
      </x:c>
      <x:c r="M35" s="22" t="n">
        <x:f>IF(H35="완료",0,L35)</x:f>
        <x:v>47685</x:v>
      </x:c>
    </x:row>
    <x:row r="36" ht="22" customHeight="1">
      <x:c r="A36" s="18" t="n">
        <x:v>46089</x:v>
      </x:c>
      <x:c r="B36" t="str">
        <x:v>T0017</x:v>
      </x:c>
      <x:c r="C36" t="str">
        <x:v>매출</x:v>
      </x:c>
      <x:c r="D36" t="str">
        <x:v>그린마트</x:v>
      </x:c>
      <x:c r="E36" t="str">
        <x:v>감자칩</x:v>
      </x:c>
      <x:c r="F36" t="n">
        <x:v>58</x:v>
      </x:c>
      <x:c r="G36" s="20" t="n">
        <x:v>1950</x:v>
      </x:c>
      <x:c r="H36" t="str">
        <x:v>완료</x:v>
      </x:c>
      <x:c r="I36"/>
      <x:c r="J36" s="22" t="n">
        <x:f>F36*G36</x:f>
        <x:v>113100</x:v>
      </x:c>
      <x:c r="K36" s="22" t="n">
        <x:f>ROUND(J36*10%,0)</x:f>
        <x:v>11310</x:v>
      </x:c>
      <x:c r="L36" s="22" t="n">
        <x:f>J36+K36</x:f>
        <x:v>124410</x:v>
      </x:c>
      <x:c r="M36" s="22" t="n">
        <x:f>IF(H36="완료",0,L36)</x:f>
        <x:v>0</x:v>
      </x:c>
    </x:row>
    <x:row r="37" ht="22" customHeight="1">
      <x:c r="A37" s="18" t="n">
        <x:v>46093</x:v>
      </x:c>
      <x:c r="B37" t="str">
        <x:v>T0018</x:v>
      </x:c>
      <x:c r="C37" t="str">
        <x:v>매입</x:v>
      </x:c>
      <x:c r="D37" t="str">
        <x:v>다온산업</x:v>
      </x:c>
      <x:c r="E37" t="str">
        <x:v>물티슈 30매</x:v>
      </x:c>
      <x:c r="F37" t="n">
        <x:v>65</x:v>
      </x:c>
      <x:c r="G37" s="20" t="n">
        <x:v>920</x:v>
      </x:c>
      <x:c r="H37" t="str">
        <x:v>완료</x:v>
      </x:c>
      <x:c r="I37"/>
      <x:c r="J37" s="22" t="n">
        <x:f>F37*G37</x:f>
        <x:v>59800</x:v>
      </x:c>
      <x:c r="K37" s="22" t="n">
        <x:f>ROUND(J37*10%,0)</x:f>
        <x:v>5980</x:v>
      </x:c>
      <x:c r="L37" s="22" t="n">
        <x:f>J37+K37</x:f>
        <x:v>65780</x:v>
      </x:c>
      <x:c r="M37" s="22" t="n">
        <x:f>IF(H37="완료",0,L37)</x:f>
        <x:v>0</x:v>
      </x:c>
    </x:row>
    <x:row r="38" ht="22" customHeight="1">
      <x:c r="A38" s="18" t="n">
        <x:v>46098</x:v>
      </x:c>
      <x:c r="B38" t="str">
        <x:v>T0019</x:v>
      </x:c>
      <x:c r="C38" t="str">
        <x:v>매출</x:v>
      </x:c>
      <x:c r="D38" t="str">
        <x:v>푸른유통</x:v>
      </x:c>
      <x:c r="E38" t="str">
        <x:v>캔커피</x:v>
      </x:c>
      <x:c r="F38" t="n">
        <x:v>72</x:v>
      </x:c>
      <x:c r="G38" s="20" t="n">
        <x:v>1200</x:v>
      </x:c>
      <x:c r="H38" t="str">
        <x:v>완료</x:v>
      </x:c>
      <x:c r="I38"/>
      <x:c r="J38" s="22" t="n">
        <x:f>F38*G38</x:f>
        <x:v>86400</x:v>
      </x:c>
      <x:c r="K38" s="22" t="n">
        <x:f>ROUND(J38*10%,0)</x:f>
        <x:v>8640</x:v>
      </x:c>
      <x:c r="L38" s="22" t="n">
        <x:f>J38+K38</x:f>
        <x:v>95040</x:v>
      </x:c>
      <x:c r="M38" s="22" t="n">
        <x:f>IF(H38="완료",0,L38)</x:f>
        <x:v>0</x:v>
      </x:c>
    </x:row>
    <x:row r="39" ht="22" customHeight="1">
      <x:c r="A39" s="18" t="n">
        <x:v>46102</x:v>
      </x:c>
      <x:c r="B39" t="str">
        <x:v>T0020</x:v>
      </x:c>
      <x:c r="C39" t="str">
        <x:v>매입</x:v>
      </x:c>
      <x:c r="D39" t="str">
        <x:v>동서식품상사</x:v>
      </x:c>
      <x:c r="E39" t="str">
        <x:v>초코바</x:v>
      </x:c>
      <x:c r="F39" t="n">
        <x:v>15</x:v>
      </x:c>
      <x:c r="G39" s="20" t="n">
        <x:v>700</x:v>
      </x:c>
      <x:c r="H39" t="str">
        <x:v>미지급</x:v>
      </x:c>
      <x:c r="I39"/>
      <x:c r="J39" s="22" t="n">
        <x:f>F39*G39</x:f>
        <x:v>10500</x:v>
      </x:c>
      <x:c r="K39" s="22" t="n">
        <x:f>ROUND(J39*10%,0)</x:f>
        <x:v>1050</x:v>
      </x:c>
      <x:c r="L39" s="22" t="n">
        <x:f>J39+K39</x:f>
        <x:v>11550</x:v>
      </x:c>
      <x:c r="M39" s="22" t="n">
        <x:f>IF(H39="완료",0,L39)</x:f>
        <x:v>11550</x:v>
      </x:c>
    </x:row>
    <x:row r="40" ht="22" customHeight="1">
      <x:c r="A40" s="18" t="n">
        <x:v>46106</x:v>
      </x:c>
      <x:c r="B40" t="str">
        <x:v>T0021</x:v>
      </x:c>
      <x:c r="C40" t="str">
        <x:v>매출</x:v>
      </x:c>
      <x:c r="D40" t="str">
        <x:v>미래식품</x:v>
      </x:c>
      <x:c r="E40" t="str">
        <x:v>생수 500ml</x:v>
      </x:c>
      <x:c r="F40" t="n">
        <x:v>22</x:v>
      </x:c>
      <x:c r="G40" s="20" t="n">
        <x:v>850</x:v>
      </x:c>
      <x:c r="H40" t="str">
        <x:v>완료</x:v>
      </x:c>
      <x:c r="I40"/>
      <x:c r="J40" s="22" t="n">
        <x:f>F40*G40</x:f>
        <x:v>18700</x:v>
      </x:c>
      <x:c r="K40" s="22" t="n">
        <x:f>ROUND(J40*10%,0)</x:f>
        <x:v>1870</x:v>
      </x:c>
      <x:c r="L40" s="22" t="n">
        <x:f>J40+K40</x:f>
        <x:v>20570</x:v>
      </x:c>
      <x:c r="M40" s="22" t="n">
        <x:f>IF(H40="완료",0,L40)</x:f>
        <x:v>0</x:v>
      </x:c>
    </x:row>
    <x:row r="41" ht="22" customHeight="1">
      <x:c r="A41" s="18" t="n">
        <x:v>46110</x:v>
      </x:c>
      <x:c r="B41" t="str">
        <x:v>T0022</x:v>
      </x:c>
      <x:c r="C41" t="str">
        <x:v>매출</x:v>
      </x:c>
      <x:c r="D41" t="str">
        <x:v>우리상사</x:v>
      </x:c>
      <x:c r="E41" t="str">
        <x:v>감자칩</x:v>
      </x:c>
      <x:c r="F41" t="n">
        <x:v>29</x:v>
      </x:c>
      <x:c r="G41" s="20" t="n">
        <x:v>1950</x:v>
      </x:c>
      <x:c r="H41" t="str">
        <x:v>완료</x:v>
      </x:c>
      <x:c r="I41"/>
      <x:c r="J41" s="22" t="n">
        <x:f>F41*G41</x:f>
        <x:v>56550</x:v>
      </x:c>
      <x:c r="K41" s="22" t="n">
        <x:f>ROUND(J41*10%,0)</x:f>
        <x:v>5655</x:v>
      </x:c>
      <x:c r="L41" s="22" t="n">
        <x:f>J41+K41</x:f>
        <x:v>62205</x:v>
      </x:c>
      <x:c r="M41" s="22" t="n">
        <x:f>IF(H41="완료",0,L41)</x:f>
        <x:v>0</x:v>
      </x:c>
    </x:row>
    <x:row r="42" ht="22" customHeight="1">
      <x:c r="A42" s="18" t="n">
        <x:v>46114</x:v>
      </x:c>
      <x:c r="B42" t="str">
        <x:v>T0023</x:v>
      </x:c>
      <x:c r="C42" t="str">
        <x:v>매입</x:v>
      </x:c>
      <x:c r="D42" t="str">
        <x:v>정우상사</x:v>
      </x:c>
      <x:c r="E42" t="str">
        <x:v>물티슈 30매</x:v>
      </x:c>
      <x:c r="F42" t="n">
        <x:v>36</x:v>
      </x:c>
      <x:c r="G42" s="20" t="n">
        <x:v>920</x:v>
      </x:c>
      <x:c r="H42" t="str">
        <x:v>미지급</x:v>
      </x:c>
      <x:c r="I42"/>
      <x:c r="J42" s="22" t="n">
        <x:f>F42*G42</x:f>
        <x:v>33120</x:v>
      </x:c>
      <x:c r="K42" s="22" t="n">
        <x:f>ROUND(J42*10%,0)</x:f>
        <x:v>3312</x:v>
      </x:c>
      <x:c r="L42" s="22" t="n">
        <x:f>J42+K42</x:f>
        <x:v>36432</x:v>
      </x:c>
      <x:c r="M42" s="22" t="n">
        <x:f>IF(H42="완료",0,L42)</x:f>
        <x:v>36432</x:v>
      </x:c>
    </x:row>
    <x:row r="43" ht="22" customHeight="1">
      <x:c r="A43" s="18" t="n">
        <x:v>46118</x:v>
      </x:c>
      <x:c r="B43" t="str">
        <x:v>T0024</x:v>
      </x:c>
      <x:c r="C43" t="str">
        <x:v>매출</x:v>
      </x:c>
      <x:c r="D43" t="str">
        <x:v>미래식품</x:v>
      </x:c>
      <x:c r="E43" t="str">
        <x:v>캔커피</x:v>
      </x:c>
      <x:c r="F43" t="n">
        <x:v>43</x:v>
      </x:c>
      <x:c r="G43" s="20" t="n">
        <x:v>1200</x:v>
      </x:c>
      <x:c r="H43" t="str">
        <x:v>완료</x:v>
      </x:c>
      <x:c r="I43"/>
      <x:c r="J43" s="22" t="n">
        <x:f>F43*G43</x:f>
        <x:v>51600</x:v>
      </x:c>
      <x:c r="K43" s="22" t="n">
        <x:f>ROUND(J43*10%,0)</x:f>
        <x:v>5160</x:v>
      </x:c>
      <x:c r="L43" s="22" t="n">
        <x:f>J43+K43</x:f>
        <x:v>56760</x:v>
      </x:c>
      <x:c r="M43" s="22" t="n">
        <x:f>IF(H43="완료",0,L43)</x:f>
        <x:v>0</x:v>
      </x:c>
    </x:row>
    <x:row r="44" ht="22" customHeight="1">
      <x:c r="A44" s="18" t="n">
        <x:v>46123</x:v>
      </x:c>
      <x:c r="B44" t="str">
        <x:v>T0025</x:v>
      </x:c>
      <x:c r="C44" t="str">
        <x:v>매입</x:v>
      </x:c>
      <x:c r="D44" t="str">
        <x:v>중앙물산</x:v>
      </x:c>
      <x:c r="E44" t="str">
        <x:v>초코바</x:v>
      </x:c>
      <x:c r="F44" t="n">
        <x:v>50</x:v>
      </x:c>
      <x:c r="G44" s="20" t="n">
        <x:v>700</x:v>
      </x:c>
      <x:c r="H44" t="str">
        <x:v>완료</x:v>
      </x:c>
      <x:c r="I44"/>
      <x:c r="J44" s="22" t="n">
        <x:f>F44*G44</x:f>
        <x:v>35000</x:v>
      </x:c>
      <x:c r="K44" s="22" t="n">
        <x:f>ROUND(J44*10%,0)</x:f>
        <x:v>3500</x:v>
      </x:c>
      <x:c r="L44" s="22" t="n">
        <x:f>J44+K44</x:f>
        <x:v>38500</x:v>
      </x:c>
      <x:c r="M44" s="22" t="n">
        <x:f>IF(H44="완료",0,L44)</x:f>
        <x:v>0</x:v>
      </x:c>
    </x:row>
    <x:row r="45" ht="22" customHeight="1">
      <x:c r="A45" s="18" t="n">
        <x:v>46127</x:v>
      </x:c>
      <x:c r="B45" t="str">
        <x:v>T0026</x:v>
      </x:c>
      <x:c r="C45" t="str">
        <x:v>매출</x:v>
      </x:c>
      <x:c r="D45" t="str">
        <x:v>하나편의점</x:v>
      </x:c>
      <x:c r="E45" t="str">
        <x:v>생수 500ml</x:v>
      </x:c>
      <x:c r="F45" t="n">
        <x:v>57</x:v>
      </x:c>
      <x:c r="G45" s="20" t="n">
        <x:v>850</x:v>
      </x:c>
      <x:c r="H45" t="str">
        <x:v>완료</x:v>
      </x:c>
      <x:c r="I45"/>
      <x:c r="J45" s="22" t="n">
        <x:f>F45*G45</x:f>
        <x:v>48450</x:v>
      </x:c>
      <x:c r="K45" s="22" t="n">
        <x:f>ROUND(J45*10%,0)</x:f>
        <x:v>4845</x:v>
      </x:c>
      <x:c r="L45" s="22" t="n">
        <x:f>J45+K45</x:f>
        <x:v>53295</x:v>
      </x:c>
      <x:c r="M45" s="22" t="n">
        <x:f>IF(H45="완료",0,L45)</x:f>
        <x:v>0</x:v>
      </x:c>
    </x:row>
    <x:row r="46" ht="22" customHeight="1">
      <x:c r="A46" s="18" t="n">
        <x:v>46131</x:v>
      </x:c>
      <x:c r="B46" t="str">
        <x:v>T0027</x:v>
      </x:c>
      <x:c r="C46" t="str">
        <x:v>매출</x:v>
      </x:c>
      <x:c r="D46" t="str">
        <x:v>푸른유통</x:v>
      </x:c>
      <x:c r="E46" t="str">
        <x:v>감자칩</x:v>
      </x:c>
      <x:c r="F46" t="n">
        <x:v>64</x:v>
      </x:c>
      <x:c r="G46" s="20" t="n">
        <x:v>1950</x:v>
      </x:c>
      <x:c r="H46" t="str">
        <x:v>미수</x:v>
      </x:c>
      <x:c r="I46"/>
      <x:c r="J46" s="22" t="n">
        <x:f>F46*G46</x:f>
        <x:v>124800</x:v>
      </x:c>
      <x:c r="K46" s="22" t="n">
        <x:f>ROUND(J46*10%,0)</x:f>
        <x:v>12480</x:v>
      </x:c>
      <x:c r="L46" s="22" t="n">
        <x:f>J46+K46</x:f>
        <x:v>137280</x:v>
      </x:c>
      <x:c r="M46" s="22" t="n">
        <x:f>IF(H46="완료",0,L46)</x:f>
        <x:v>137280</x:v>
      </x:c>
    </x:row>
    <x:row r="47" ht="22" customHeight="1">
      <x:c r="A47" s="18" t="n">
        <x:v>46135</x:v>
      </x:c>
      <x:c r="B47" t="str">
        <x:v>T0028</x:v>
      </x:c>
      <x:c r="C47" t="str">
        <x:v>매입</x:v>
      </x:c>
      <x:c r="D47" t="str">
        <x:v>한빛유통</x:v>
      </x:c>
      <x:c r="E47" t="str">
        <x:v>물티슈 30매</x:v>
      </x:c>
      <x:c r="F47" t="n">
        <x:v>71</x:v>
      </x:c>
      <x:c r="G47" s="20" t="n">
        <x:v>920</x:v>
      </x:c>
      <x:c r="H47" t="str">
        <x:v>완료</x:v>
      </x:c>
      <x:c r="I47"/>
      <x:c r="J47" s="22" t="n">
        <x:f>F47*G47</x:f>
        <x:v>65320</x:v>
      </x:c>
      <x:c r="K47" s="22" t="n">
        <x:f>ROUND(J47*10%,0)</x:f>
        <x:v>6532</x:v>
      </x:c>
      <x:c r="L47" s="22" t="n">
        <x:f>J47+K47</x:f>
        <x:v>71852</x:v>
      </x:c>
      <x:c r="M47" s="22" t="n">
        <x:f>IF(H47="완료",0,L47)</x:f>
        <x:v>0</x:v>
      </x:c>
    </x:row>
    <x:row r="48" ht="22" customHeight="1">
      <x:c r="A48" s="18" t="n">
        <x:v>46139</x:v>
      </x:c>
      <x:c r="B48" t="str">
        <x:v>T0029</x:v>
      </x:c>
      <x:c r="C48" t="str">
        <x:v>매출</x:v>
      </x:c>
      <x:c r="D48" t="str">
        <x:v>미래식품</x:v>
      </x:c>
      <x:c r="E48" t="str">
        <x:v>캔커피</x:v>
      </x:c>
      <x:c r="F48" t="n">
        <x:v>14</x:v>
      </x:c>
      <x:c r="G48" s="20" t="n">
        <x:v>1200</x:v>
      </x:c>
      <x:c r="H48" t="str">
        <x:v>완료</x:v>
      </x:c>
      <x:c r="I48"/>
      <x:c r="J48" s="22" t="n">
        <x:f>F48*G48</x:f>
        <x:v>16800</x:v>
      </x:c>
      <x:c r="K48" s="22" t="n">
        <x:f>ROUND(J48*10%,0)</x:f>
        <x:v>1680</x:v>
      </x:c>
      <x:c r="L48" s="22" t="n">
        <x:f>J48+K48</x:f>
        <x:v>18480</x:v>
      </x:c>
      <x:c r="M48" s="22" t="n">
        <x:f>IF(H48="완료",0,L48)</x:f>
        <x:v>0</x:v>
      </x:c>
    </x:row>
    <x:row r="49" ht="22" customHeight="1">
      <x:c r="A49" s="18" t="n">
        <x:v>46143</x:v>
      </x:c>
      <x:c r="B49" t="str">
        <x:v>T0030</x:v>
      </x:c>
      <x:c r="C49" t="str">
        <x:v>매입</x:v>
      </x:c>
      <x:c r="D49" t="str">
        <x:v>중앙물산</x:v>
      </x:c>
      <x:c r="E49" t="str">
        <x:v>초코바</x:v>
      </x:c>
      <x:c r="F49" t="n">
        <x:v>21</x:v>
      </x:c>
      <x:c r="G49" s="20" t="n">
        <x:v>700</x:v>
      </x:c>
      <x:c r="H49" t="str">
        <x:v>미지급</x:v>
      </x:c>
      <x:c r="I49"/>
      <x:c r="J49" s="22" t="n">
        <x:f>F49*G49</x:f>
        <x:v>14700</x:v>
      </x:c>
      <x:c r="K49" s="22" t="n">
        <x:f>ROUND(J49*10%,0)</x:f>
        <x:v>1470</x:v>
      </x:c>
      <x:c r="L49" s="22" t="n">
        <x:f>J49+K49</x:f>
        <x:v>16170</x:v>
      </x:c>
      <x:c r="M49" s="22" t="n">
        <x:f>IF(H49="완료",0,L49)</x:f>
        <x:v>16170</x:v>
      </x:c>
    </x:row>
    <x:row r="50" ht="22" customHeight="1">
      <x:c r="A50" s="18" t="n">
        <x:v>46148</x:v>
      </x:c>
      <x:c r="B50" t="str">
        <x:v>T0031</x:v>
      </x:c>
      <x:c r="C50" t="str">
        <x:v>매출</x:v>
      </x:c>
      <x:c r="D50" t="str">
        <x:v>대성상회</x:v>
      </x:c>
      <x:c r="E50" t="str">
        <x:v>생수 500ml</x:v>
      </x:c>
      <x:c r="F50" t="n">
        <x:v>28</x:v>
      </x:c>
      <x:c r="G50" s="20" t="n">
        <x:v>850</x:v>
      </x:c>
      <x:c r="H50" t="str">
        <x:v>완료</x:v>
      </x:c>
      <x:c r="I50"/>
      <x:c r="J50" s="22" t="n">
        <x:f>F50*G50</x:f>
        <x:v>23800</x:v>
      </x:c>
      <x:c r="K50" s="22" t="n">
        <x:f>ROUND(J50*10%,0)</x:f>
        <x:v>2380</x:v>
      </x:c>
      <x:c r="L50" s="22" t="n">
        <x:f>J50+K50</x:f>
        <x:v>26180</x:v>
      </x:c>
      <x:c r="M50" s="22" t="n">
        <x:f>IF(H50="완료",0,L50)</x:f>
        <x:v>0</x:v>
      </x:c>
    </x:row>
    <x:row r="51" ht="22" customHeight="1">
      <x:c r="A51" s="18" t="n">
        <x:v>46152</x:v>
      </x:c>
      <x:c r="B51" t="str">
        <x:v>T0032</x:v>
      </x:c>
      <x:c r="C51" t="str">
        <x:v>매출</x:v>
      </x:c>
      <x:c r="D51" t="str">
        <x:v>미래식품</x:v>
      </x:c>
      <x:c r="E51" t="str">
        <x:v>감자칩</x:v>
      </x:c>
      <x:c r="F51" t="n">
        <x:v>35</x:v>
      </x:c>
      <x:c r="G51" s="20" t="n">
        <x:v>1950</x:v>
      </x:c>
      <x:c r="H51" t="str">
        <x:v>완료</x:v>
      </x:c>
      <x:c r="I51"/>
      <x:c r="J51" s="22" t="n">
        <x:f>F51*G51</x:f>
        <x:v>68250</x:v>
      </x:c>
      <x:c r="K51" s="22" t="n">
        <x:f>ROUND(J51*10%,0)</x:f>
        <x:v>6825</x:v>
      </x:c>
      <x:c r="L51" s="22" t="n">
        <x:f>J51+K51</x:f>
        <x:v>75075</x:v>
      </x:c>
      <x:c r="M51" s="22" t="n">
        <x:f>IF(H51="완료",0,L51)</x:f>
        <x:v>0</x:v>
      </x:c>
    </x:row>
    <x:row r="52" ht="22" customHeight="1">
      <x:c r="A52" s="18" t="n">
        <x:v>46156</x:v>
      </x:c>
      <x:c r="B52" t="str">
        <x:v>T0033</x:v>
      </x:c>
      <x:c r="C52" t="str">
        <x:v>매입</x:v>
      </x:c>
      <x:c r="D52" t="str">
        <x:v>한빛유통</x:v>
      </x:c>
      <x:c r="E52" t="str">
        <x:v>물티슈 30매</x:v>
      </x:c>
      <x:c r="F52" t="n">
        <x:v>42</x:v>
      </x:c>
      <x:c r="G52" s="20" t="n">
        <x:v>920</x:v>
      </x:c>
      <x:c r="H52" t="str">
        <x:v>완료</x:v>
      </x:c>
      <x:c r="I52"/>
      <x:c r="J52" s="22" t="n">
        <x:f>F52*G52</x:f>
        <x:v>38640</x:v>
      </x:c>
      <x:c r="K52" s="22" t="n">
        <x:f>ROUND(J52*10%,0)</x:f>
        <x:v>3864</x:v>
      </x:c>
      <x:c r="L52" s="22" t="n">
        <x:f>J52+K52</x:f>
        <x:v>42504</x:v>
      </x:c>
      <x:c r="M52" s="22" t="n">
        <x:f>IF(H52="완료",0,L52)</x:f>
        <x:v>0</x:v>
      </x:c>
    </x:row>
    <x:row r="53" ht="22" customHeight="1">
      <x:c r="A53" s="18" t="n">
        <x:v>46160</x:v>
      </x:c>
      <x:c r="B53" t="str">
        <x:v>T0034</x:v>
      </x:c>
      <x:c r="C53" t="str">
        <x:v>매출</x:v>
      </x:c>
      <x:c r="D53" t="str">
        <x:v>하나편의점</x:v>
      </x:c>
      <x:c r="E53" t="str">
        <x:v>캔커피</x:v>
      </x:c>
      <x:c r="F53" t="n">
        <x:v>49</x:v>
      </x:c>
      <x:c r="G53" s="20" t="n">
        <x:v>1200</x:v>
      </x:c>
      <x:c r="H53" t="str">
        <x:v>미수</x:v>
      </x:c>
      <x:c r="I53"/>
      <x:c r="J53" s="22" t="n">
        <x:f>F53*G53</x:f>
        <x:v>58800</x:v>
      </x:c>
      <x:c r="K53" s="22" t="n">
        <x:f>ROUND(J53*10%,0)</x:f>
        <x:v>5880</x:v>
      </x:c>
      <x:c r="L53" s="22" t="n">
        <x:f>J53+K53</x:f>
        <x:v>64680</x:v>
      </x:c>
      <x:c r="M53" s="22" t="n">
        <x:f>IF(H53="완료",0,L53)</x:f>
        <x:v>64680</x:v>
      </x:c>
    </x:row>
    <x:row r="54" ht="22" customHeight="1">
      <x:c r="A54" s="18" t="n">
        <x:v>46164</x:v>
      </x:c>
      <x:c r="B54" t="str">
        <x:v>T0035</x:v>
      </x:c>
      <x:c r="C54" t="str">
        <x:v>매입</x:v>
      </x:c>
      <x:c r="D54" t="str">
        <x:v>새롬포장</x:v>
      </x:c>
      <x:c r="E54" t="str">
        <x:v>초코바</x:v>
      </x:c>
      <x:c r="F54" t="n">
        <x:v>56</x:v>
      </x:c>
      <x:c r="G54" s="20" t="n">
        <x:v>700</x:v>
      </x:c>
      <x:c r="H54" t="str">
        <x:v>완료</x:v>
      </x:c>
      <x:c r="I54"/>
      <x:c r="J54" s="22" t="n">
        <x:f>F54*G54</x:f>
        <x:v>39200</x:v>
      </x:c>
      <x:c r="K54" s="22" t="n">
        <x:f>ROUND(J54*10%,0)</x:f>
        <x:v>3920</x:v>
      </x:c>
      <x:c r="L54" s="22" t="n">
        <x:f>J54+K54</x:f>
        <x:v>43120</x:v>
      </x:c>
      <x:c r="M54" s="22" t="n">
        <x:f>IF(H54="완료",0,L54)</x:f>
        <x:v>0</x:v>
      </x:c>
    </x:row>
    <x:row r="55" ht="22" customHeight="1">
      <x:c r="A55" s="18" t="n">
        <x:v>46168</x:v>
      </x:c>
      <x:c r="B55" t="str">
        <x:v>T0036</x:v>
      </x:c>
      <x:c r="C55" t="str">
        <x:v>매출</x:v>
      </x:c>
      <x:c r="D55" t="str">
        <x:v>그린마트</x:v>
      </x:c>
      <x:c r="E55" t="str">
        <x:v>생수 500ml</x:v>
      </x:c>
      <x:c r="F55" t="n">
        <x:v>63</x:v>
      </x:c>
      <x:c r="G55" s="20" t="n">
        <x:v>850</x:v>
      </x:c>
      <x:c r="H55" t="str">
        <x:v>완료</x:v>
      </x:c>
      <x:c r="I55"/>
      <x:c r="J55" s="22" t="n">
        <x:f>F55*G55</x:f>
        <x:v>53550</x:v>
      </x:c>
      <x:c r="K55" s="22" t="n">
        <x:f>ROUND(J55*10%,0)</x:f>
        <x:v>5355</x:v>
      </x:c>
      <x:c r="L55" s="22" t="n">
        <x:f>J55+K55</x:f>
        <x:v>58905</x:v>
      </x:c>
      <x:c r="M55" s="22" t="n">
        <x:f>IF(H55="완료",0,L55)</x:f>
        <x:v>0</x:v>
      </x:c>
    </x:row>
    <x:row r="56" ht="22" customHeight="1">
      <x:c r="A56" s="18" t="n">
        <x:v>46173</x:v>
      </x:c>
      <x:c r="B56" t="str">
        <x:v>T0037</x:v>
      </x:c>
      <x:c r="C56" t="str">
        <x:v>매출</x:v>
      </x:c>
      <x:c r="D56" t="str">
        <x:v>미래식품</x:v>
      </x:c>
      <x:c r="E56" t="str">
        <x:v>감자칩</x:v>
      </x:c>
      <x:c r="F56" t="n">
        <x:v>70</x:v>
      </x:c>
      <x:c r="G56" s="20" t="n">
        <x:v>1950</x:v>
      </x:c>
      <x:c r="H56" t="str">
        <x:v>미수</x:v>
      </x:c>
      <x:c r="I56"/>
      <x:c r="J56" s="22" t="n">
        <x:f>F56*G56</x:f>
        <x:v>136500</x:v>
      </x:c>
      <x:c r="K56" s="22" t="n">
        <x:f>ROUND(J56*10%,0)</x:f>
        <x:v>13650</x:v>
      </x:c>
      <x:c r="L56" s="22" t="n">
        <x:f>J56+K56</x:f>
        <x:v>150150</x:v>
      </x:c>
      <x:c r="M56" s="22" t="n">
        <x:f>IF(H56="완료",0,L56)</x:f>
        <x:v>150150</x:v>
      </x:c>
    </x:row>
    <x:row r="57" ht="22" customHeight="1">
      <x:c r="A57" s="18" t="n">
        <x:v>46177</x:v>
      </x:c>
      <x:c r="B57" t="str">
        <x:v>T0038</x:v>
      </x:c>
      <x:c r="C57" t="str">
        <x:v>매입</x:v>
      </x:c>
      <x:c r="D57" t="str">
        <x:v>동서식품상사</x:v>
      </x:c>
      <x:c r="E57" t="str">
        <x:v>물티슈 30매</x:v>
      </x:c>
      <x:c r="F57" t="n">
        <x:v>13</x:v>
      </x:c>
      <x:c r="G57" s="20" t="n">
        <x:v>920</x:v>
      </x:c>
      <x:c r="H57" t="str">
        <x:v>완료</x:v>
      </x:c>
      <x:c r="I57"/>
      <x:c r="J57" s="22" t="n">
        <x:f>F57*G57</x:f>
        <x:v>11960</x:v>
      </x:c>
      <x:c r="K57" s="22" t="n">
        <x:f>ROUND(J57*10%,0)</x:f>
        <x:v>1196</x:v>
      </x:c>
      <x:c r="L57" s="22" t="n">
        <x:f>J57+K57</x:f>
        <x:v>13156</x:v>
      </x:c>
      <x:c r="M57" s="22" t="n">
        <x:f>IF(H57="완료",0,L57)</x:f>
        <x:v>0</x:v>
      </x:c>
    </x:row>
    <x:row r="58" ht="22" customHeight="1">
      <x:c r="A58" s="18" t="n">
        <x:v>46181</x:v>
      </x:c>
      <x:c r="B58" t="str">
        <x:v>T0039</x:v>
      </x:c>
      <x:c r="C58" t="str">
        <x:v>매출</x:v>
      </x:c>
      <x:c r="D58" t="str">
        <x:v>대성상회</x:v>
      </x:c>
      <x:c r="E58" t="str">
        <x:v>캔커피</x:v>
      </x:c>
      <x:c r="F58" t="n">
        <x:v>20</x:v>
      </x:c>
      <x:c r="G58" s="20" t="n">
        <x:v>1200</x:v>
      </x:c>
      <x:c r="H58" t="str">
        <x:v>완료</x:v>
      </x:c>
      <x:c r="I58"/>
      <x:c r="J58" s="22" t="n">
        <x:f>F58*G58</x:f>
        <x:v>24000</x:v>
      </x:c>
      <x:c r="K58" s="22" t="n">
        <x:f>ROUND(J58*10%,0)</x:f>
        <x:v>2400</x:v>
      </x:c>
      <x:c r="L58" s="22" t="n">
        <x:f>J58+K58</x:f>
        <x:v>26400</x:v>
      </x:c>
      <x:c r="M58" s="22" t="n">
        <x:f>IF(H58="완료",0,L58)</x:f>
        <x:v>0</x:v>
      </x:c>
    </x:row>
    <x:row r="59" ht="22" customHeight="1">
      <x:c r="A59" s="18" t="n">
        <x:v>46185</x:v>
      </x:c>
      <x:c r="B59" t="str">
        <x:v>T0040</x:v>
      </x:c>
      <x:c r="C59" t="str">
        <x:v>매입</x:v>
      </x:c>
      <x:c r="D59" t="str">
        <x:v>다온산업</x:v>
      </x:c>
      <x:c r="E59" t="str">
        <x:v>초코바</x:v>
      </x:c>
      <x:c r="F59" t="n">
        <x:v>27</x:v>
      </x:c>
      <x:c r="G59" s="20" t="n">
        <x:v>700</x:v>
      </x:c>
      <x:c r="H59" t="str">
        <x:v>완료</x:v>
      </x:c>
      <x:c r="I59"/>
      <x:c r="J59" s="22" t="n">
        <x:f>F59*G59</x:f>
        <x:v>18900</x:v>
      </x:c>
      <x:c r="K59" s="22" t="n">
        <x:f>ROUND(J59*10%,0)</x:f>
        <x:v>1890</x:v>
      </x:c>
      <x:c r="L59" s="22" t="n">
        <x:f>J59+K59</x:f>
        <x:v>20790</x:v>
      </x:c>
      <x:c r="M59" s="22" t="n">
        <x:f>IF(H59="완료",0,L59)</x:f>
        <x:v>0</x:v>
      </x:c>
    </x:row>
    <x:row r="60" ht="22" customHeight="1">
      <x:c r="A60" s="18" t="n">
        <x:v>46189</x:v>
      </x:c>
      <x:c r="B60" t="str">
        <x:v>T0041</x:v>
      </x:c>
      <x:c r="C60" t="str">
        <x:v>매출</x:v>
      </x:c>
      <x:c r="D60" t="str">
        <x:v>그린마트</x:v>
      </x:c>
      <x:c r="E60" t="str">
        <x:v>생수 500ml</x:v>
      </x:c>
      <x:c r="F60" t="n">
        <x:v>34</x:v>
      </x:c>
      <x:c r="G60" s="20" t="n">
        <x:v>850</x:v>
      </x:c>
      <x:c r="H60" t="str">
        <x:v>미수</x:v>
      </x:c>
      <x:c r="I60"/>
      <x:c r="J60" s="22" t="n">
        <x:f>F60*G60</x:f>
        <x:v>28900</x:v>
      </x:c>
      <x:c r="K60" s="22" t="n">
        <x:f>ROUND(J60*10%,0)</x:f>
        <x:v>2890</x:v>
      </x:c>
      <x:c r="L60" s="22" t="n">
        <x:f>J60+K60</x:f>
        <x:v>31790</x:v>
      </x:c>
      <x:c r="M60" s="22" t="n">
        <x:f>IF(H60="완료",0,L60)</x:f>
        <x:v>31790</x:v>
      </x:c>
    </x:row>
    <x:row r="61" ht="22" customHeight="1">
      <x:c r="A61" s="18" t="n">
        <x:v>46193</x:v>
      </x:c>
      <x:c r="B61" t="str">
        <x:v>T0042</x:v>
      </x:c>
      <x:c r="C61" t="str">
        <x:v>매출</x:v>
      </x:c>
      <x:c r="D61" t="str">
        <x:v>하나편의점</x:v>
      </x:c>
      <x:c r="E61" t="str">
        <x:v>감자칩</x:v>
      </x:c>
      <x:c r="F61" t="n">
        <x:v>41</x:v>
      </x:c>
      <x:c r="G61" s="20" t="n">
        <x:v>1950</x:v>
      </x:c>
      <x:c r="H61" t="str">
        <x:v>완료</x:v>
      </x:c>
      <x:c r="I61"/>
      <x:c r="J61" s="22" t="n">
        <x:f>F61*G61</x:f>
        <x:v>79950</x:v>
      </x:c>
      <x:c r="K61" s="22" t="n">
        <x:f>ROUND(J61*10%,0)</x:f>
        <x:v>7995</x:v>
      </x:c>
      <x:c r="L61" s="22" t="n">
        <x:f>J61+K61</x:f>
        <x:v>87945</x:v>
      </x:c>
      <x:c r="M61" s="22" t="n">
        <x:f>IF(H61="완료",0,L61)</x:f>
        <x:v>0</x:v>
      </x:c>
    </x:row>
    <x:row r="62" ht="22" customHeight="1">
      <x:c r="A62" s="18" t="n">
        <x:v>46198</x:v>
      </x:c>
      <x:c r="B62" t="str">
        <x:v>T0043</x:v>
      </x:c>
      <x:c r="C62" t="str">
        <x:v>매입</x:v>
      </x:c>
      <x:c r="D62" t="str">
        <x:v>중앙물산</x:v>
      </x:c>
      <x:c r="E62" t="str">
        <x:v>물티슈 30매</x:v>
      </x:c>
      <x:c r="F62" t="n">
        <x:v>48</x:v>
      </x:c>
      <x:c r="G62" s="20" t="n">
        <x:v>920</x:v>
      </x:c>
      <x:c r="H62" t="str">
        <x:v>완료</x:v>
      </x:c>
      <x:c r="I62"/>
      <x:c r="J62" s="22" t="n">
        <x:f>F62*G62</x:f>
        <x:v>44160</x:v>
      </x:c>
      <x:c r="K62" s="22" t="n">
        <x:f>ROUND(J62*10%,0)</x:f>
        <x:v>4416</x:v>
      </x:c>
      <x:c r="L62" s="22" t="n">
        <x:f>J62+K62</x:f>
        <x:v>48576</x:v>
      </x:c>
      <x:c r="M62" s="22" t="n">
        <x:f>IF(H62="완료",0,L62)</x:f>
        <x:v>0</x:v>
      </x:c>
    </x:row>
    <x:row r="63" ht="22" customHeight="1">
      <x:c r="A63" s="18" t="n">
        <x:v>46202</x:v>
      </x:c>
      <x:c r="B63" t="str">
        <x:v>T0044</x:v>
      </x:c>
      <x:c r="C63" t="str">
        <x:v>매출</x:v>
      </x:c>
      <x:c r="D63" t="str">
        <x:v>그린마트</x:v>
      </x:c>
      <x:c r="E63" t="str">
        <x:v>캔커피</x:v>
      </x:c>
      <x:c r="F63" t="n">
        <x:v>55</x:v>
      </x:c>
      <x:c r="G63" s="20" t="n">
        <x:v>1200</x:v>
      </x:c>
      <x:c r="H63" t="str">
        <x:v>미수</x:v>
      </x:c>
      <x:c r="I63"/>
      <x:c r="J63" s="22" t="n">
        <x:f>F63*G63</x:f>
        <x:v>66000</x:v>
      </x:c>
      <x:c r="K63" s="22" t="n">
        <x:f>ROUND(J63*10%,0)</x:f>
        <x:v>6600</x:v>
      </x:c>
      <x:c r="L63" s="22" t="n">
        <x:f>J63+K63</x:f>
        <x:v>72600</x:v>
      </x:c>
      <x:c r="M63" s="22" t="n">
        <x:f>IF(H63="완료",0,L63)</x:f>
        <x:v>72600</x:v>
      </x:c>
    </x:row>
    <x:row r="64" ht="22" customHeight="1">
      <x:c r="A64" s="18" t="n">
        <x:v>46206</x:v>
      </x:c>
      <x:c r="B64" t="str">
        <x:v>T0045</x:v>
      </x:c>
      <x:c r="C64" t="str">
        <x:v>매입</x:v>
      </x:c>
      <x:c r="D64" t="str">
        <x:v>다온산업</x:v>
      </x:c>
      <x:c r="E64" t="str">
        <x:v>초코바</x:v>
      </x:c>
      <x:c r="F64" t="n">
        <x:v>62</x:v>
      </x:c>
      <x:c r="G64" s="20" t="n">
        <x:v>700</x:v>
      </x:c>
      <x:c r="H64" t="str">
        <x:v>완료</x:v>
      </x:c>
      <x:c r="I64"/>
      <x:c r="J64" s="22" t="n">
        <x:f>F64*G64</x:f>
        <x:v>43400</x:v>
      </x:c>
      <x:c r="K64" s="22" t="n">
        <x:f>ROUND(J64*10%,0)</x:f>
        <x:v>4340</x:v>
      </x:c>
      <x:c r="L64" s="22" t="n">
        <x:f>J64+K64</x:f>
        <x:v>47740</x:v>
      </x:c>
      <x:c r="M64" s="22" t="n">
        <x:f>IF(H64="완료",0,L64)</x:f>
        <x:v>0</x:v>
      </x:c>
    </x:row>
    <x:row r="65" ht="22" customHeight="1">
      <x:c r="A65" s="18" t="n">
        <x:v>46210</x:v>
      </x:c>
      <x:c r="B65" t="str">
        <x:v>T0046</x:v>
      </x:c>
      <x:c r="C65" t="str">
        <x:v>매출</x:v>
      </x:c>
      <x:c r="D65" t="str">
        <x:v>우리상사</x:v>
      </x:c>
      <x:c r="E65" t="str">
        <x:v>생수 500ml</x:v>
      </x:c>
      <x:c r="F65" t="n">
        <x:v>69</x:v>
      </x:c>
      <x:c r="G65" s="20" t="n">
        <x:v>850</x:v>
      </x:c>
      <x:c r="H65" t="str">
        <x:v>완료</x:v>
      </x:c>
      <x:c r="I65"/>
      <x:c r="J65" s="22" t="n">
        <x:f>F65*G65</x:f>
        <x:v>58650</x:v>
      </x:c>
      <x:c r="K65" s="22" t="n">
        <x:f>ROUND(J65*10%,0)</x:f>
        <x:v>5865</x:v>
      </x:c>
      <x:c r="L65" s="22" t="n">
        <x:f>J65+K65</x:f>
        <x:v>64515</x:v>
      </x:c>
      <x:c r="M65" s="22" t="n">
        <x:f>IF(H65="완료",0,L65)</x:f>
        <x:v>0</x:v>
      </x:c>
    </x:row>
    <x:row r="66" ht="22" customHeight="1">
      <x:c r="A66" s="18" t="n">
        <x:v>46214</x:v>
      </x:c>
      <x:c r="B66" t="str">
        <x:v>T0047</x:v>
      </x:c>
      <x:c r="C66" t="str">
        <x:v>매출</x:v>
      </x:c>
      <x:c r="D66" t="str">
        <x:v>대성상회</x:v>
      </x:c>
      <x:c r="E66" t="str">
        <x:v>감자칩</x:v>
      </x:c>
      <x:c r="F66" t="n">
        <x:v>12</x:v>
      </x:c>
      <x:c r="G66" s="20" t="n">
        <x:v>1950</x:v>
      </x:c>
      <x:c r="H66" t="str">
        <x:v>완료</x:v>
      </x:c>
      <x:c r="I66"/>
      <x:c r="J66" s="22" t="n">
        <x:f>F66*G66</x:f>
        <x:v>23400</x:v>
      </x:c>
      <x:c r="K66" s="22" t="n">
        <x:f>ROUND(J66*10%,0)</x:f>
        <x:v>2340</x:v>
      </x:c>
      <x:c r="L66" s="22" t="n">
        <x:f>J66+K66</x:f>
        <x:v>25740</x:v>
      </x:c>
      <x:c r="M66" s="22" t="n">
        <x:f>IF(H66="완료",0,L66)</x:f>
        <x:v>0</x:v>
      </x:c>
    </x:row>
    <x:row r="67" ht="22" customHeight="1">
      <x:c r="A67" s="18" t="n">
        <x:v>46218</x:v>
      </x:c>
      <x:c r="B67" t="str">
        <x:v>T0048</x:v>
      </x:c>
      <x:c r="C67" t="str">
        <x:v>매입</x:v>
      </x:c>
      <x:c r="D67" t="str">
        <x:v>중앙물산</x:v>
      </x:c>
      <x:c r="E67" t="str">
        <x:v>물티슈 30매</x:v>
      </x:c>
      <x:c r="F67" t="n">
        <x:v>19</x:v>
      </x:c>
      <x:c r="G67" s="20" t="n">
        <x:v>920</x:v>
      </x:c>
      <x:c r="H67" t="str">
        <x:v>미지급</x:v>
      </x:c>
      <x:c r="I67"/>
      <x:c r="J67" s="22" t="n">
        <x:f>F67*G67</x:f>
        <x:v>17480</x:v>
      </x:c>
      <x:c r="K67" s="22" t="n">
        <x:f>ROUND(J67*10%,0)</x:f>
        <x:v>1748</x:v>
      </x:c>
      <x:c r="L67" s="22" t="n">
        <x:f>J67+K67</x:f>
        <x:v>19228</x:v>
      </x:c>
      <x:c r="M67" s="22" t="n">
        <x:f>IF(H67="완료",0,L67)</x:f>
        <x:v>19228</x:v>
      </x:c>
    </x:row>
    <x:row r="68" ht="22" customHeight="1">
      <x:c r="A68" s="18" t="n">
        <x:v>46223</x:v>
      </x:c>
      <x:c r="B68" t="str">
        <x:v>T0049</x:v>
      </x:c>
      <x:c r="C68" t="str">
        <x:v>매출</x:v>
      </x:c>
      <x:c r="D68" t="str">
        <x:v>그린마트</x:v>
      </x:c>
      <x:c r="E68" t="str">
        <x:v>캔커피</x:v>
      </x:c>
      <x:c r="F68" t="n">
        <x:v>26</x:v>
      </x:c>
      <x:c r="G68" s="20" t="n">
        <x:v>1200</x:v>
      </x:c>
      <x:c r="H68" t="str">
        <x:v>완료</x:v>
      </x:c>
      <x:c r="I68"/>
      <x:c r="J68" s="22" t="n">
        <x:f>F68*G68</x:f>
        <x:v>31200</x:v>
      </x:c>
      <x:c r="K68" s="22" t="n">
        <x:f>ROUND(J68*10%,0)</x:f>
        <x:v>3120</x:v>
      </x:c>
      <x:c r="L68" s="22" t="n">
        <x:f>J68+K68</x:f>
        <x:v>34320</x:v>
      </x:c>
      <x:c r="M68" s="22" t="n">
        <x:f>IF(H68="완료",0,L68)</x:f>
        <x:v>0</x:v>
      </x:c>
    </x:row>
    <x:row r="69" ht="22" customHeight="1">
      <x:c r="A69" s="18" t="n">
        <x:v>46227</x:v>
      </x:c>
      <x:c r="B69" t="str">
        <x:v>T0050</x:v>
      </x:c>
      <x:c r="C69" t="str">
        <x:v>매입</x:v>
      </x:c>
      <x:c r="D69" t="str">
        <x:v>정우상사</x:v>
      </x:c>
      <x:c r="E69" t="str">
        <x:v>초코바</x:v>
      </x:c>
      <x:c r="F69" t="n">
        <x:v>33</x:v>
      </x:c>
      <x:c r="G69" s="20" t="n">
        <x:v>700</x:v>
      </x:c>
      <x:c r="H69" t="str">
        <x:v>완료</x:v>
      </x:c>
      <x:c r="I69"/>
      <x:c r="J69" s="22" t="n">
        <x:f>F69*G69</x:f>
        <x:v>23100</x:v>
      </x:c>
      <x:c r="K69" s="22" t="n">
        <x:f>ROUND(J69*10%,0)</x:f>
        <x:v>2310</x:v>
      </x:c>
      <x:c r="L69" s="22" t="n">
        <x:f>J69+K69</x:f>
        <x:v>25410</x:v>
      </x:c>
      <x:c r="M69" s="22" t="n">
        <x:f>IF(H69="완료",0,L69)</x:f>
        <x:v>0</x:v>
      </x:c>
    </x:row>
    <x:row r="70" ht="22" customHeight="1">
      <x:c r="A70" s="18" t="n">
        <x:v>46231</x:v>
      </x:c>
      <x:c r="B70" t="str">
        <x:v>T0051</x:v>
      </x:c>
      <x:c r="C70" t="str">
        <x:v>매출</x:v>
      </x:c>
      <x:c r="D70" t="str">
        <x:v>푸른유통</x:v>
      </x:c>
      <x:c r="E70" t="str">
        <x:v>생수 500ml</x:v>
      </x:c>
      <x:c r="F70" t="n">
        <x:v>40</x:v>
      </x:c>
      <x:c r="G70" s="20" t="n">
        <x:v>850</x:v>
      </x:c>
      <x:c r="H70" t="str">
        <x:v>미수</x:v>
      </x:c>
      <x:c r="I70"/>
      <x:c r="J70" s="22" t="n">
        <x:f>F70*G70</x:f>
        <x:v>34000</x:v>
      </x:c>
      <x:c r="K70" s="22" t="n">
        <x:f>ROUND(J70*10%,0)</x:f>
        <x:v>3400</x:v>
      </x:c>
      <x:c r="L70" s="22" t="n">
        <x:f>J70+K70</x:f>
        <x:v>37400</x:v>
      </x:c>
      <x:c r="M70" s="22" t="n">
        <x:f>IF(H70="완료",0,L70)</x:f>
        <x:v>37400</x:v>
      </x:c>
    </x:row>
    <x:row r="71" ht="22" customHeight="1">
      <x:c r="A71" s="18" t="n">
        <x:v>46235</x:v>
      </x:c>
      <x:c r="B71" t="str">
        <x:v>T0052</x:v>
      </x:c>
      <x:c r="C71" t="str">
        <x:v>매출</x:v>
      </x:c>
      <x:c r="D71" t="str">
        <x:v>그린마트</x:v>
      </x:c>
      <x:c r="E71" t="str">
        <x:v>감자칩</x:v>
      </x:c>
      <x:c r="F71" t="n">
        <x:v>47</x:v>
      </x:c>
      <x:c r="G71" s="20" t="n">
        <x:v>1950</x:v>
      </x:c>
      <x:c r="H71" t="str">
        <x:v>완료</x:v>
      </x:c>
      <x:c r="I71"/>
      <x:c r="J71" s="22" t="n">
        <x:f>F71*G71</x:f>
        <x:v>91650</x:v>
      </x:c>
      <x:c r="K71" s="22" t="n">
        <x:f>ROUND(J71*10%,0)</x:f>
        <x:v>9165</x:v>
      </x:c>
      <x:c r="L71" s="22" t="n">
        <x:f>J71+K71</x:f>
        <x:v>100815</x:v>
      </x:c>
      <x:c r="M71" s="22" t="n">
        <x:f>IF(H71="완료",0,L71)</x:f>
        <x:v>0</x:v>
      </x:c>
    </x:row>
    <x:row r="72" ht="22" customHeight="1">
      <x:c r="A72" s="18" t="n">
        <x:v>46239</x:v>
      </x:c>
      <x:c r="B72" t="str">
        <x:v>T0053</x:v>
      </x:c>
      <x:c r="C72" t="str">
        <x:v>매입</x:v>
      </x:c>
      <x:c r="D72" t="str">
        <x:v>새롬포장</x:v>
      </x:c>
      <x:c r="E72" t="str">
        <x:v>물티슈 30매</x:v>
      </x:c>
      <x:c r="F72" t="n">
        <x:v>54</x:v>
      </x:c>
      <x:c r="G72" s="20" t="n">
        <x:v>920</x:v>
      </x:c>
      <x:c r="H72" t="str">
        <x:v>완료</x:v>
      </x:c>
      <x:c r="I72"/>
      <x:c r="J72" s="22" t="n">
        <x:f>F72*G72</x:f>
        <x:v>49680</x:v>
      </x:c>
      <x:c r="K72" s="22" t="n">
        <x:f>ROUND(J72*10%,0)</x:f>
        <x:v>4968</x:v>
      </x:c>
      <x:c r="L72" s="22" t="n">
        <x:f>J72+K72</x:f>
        <x:v>54648</x:v>
      </x:c>
      <x:c r="M72" s="22" t="n">
        <x:f>IF(H72="완료",0,L72)</x:f>
        <x:v>0</x:v>
      </x:c>
    </x:row>
    <x:row r="73" ht="22" customHeight="1">
      <x:c r="A73" s="18" t="n">
        <x:v>46243</x:v>
      </x:c>
      <x:c r="B73" t="str">
        <x:v>T0054</x:v>
      </x:c>
      <x:c r="C73" t="str">
        <x:v>매출</x:v>
      </x:c>
      <x:c r="D73" t="str">
        <x:v>우리상사</x:v>
      </x:c>
      <x:c r="E73" t="str">
        <x:v>캔커피</x:v>
      </x:c>
      <x:c r="F73" t="n">
        <x:v>61</x:v>
      </x:c>
      <x:c r="G73" s="20" t="n">
        <x:v>1200</x:v>
      </x:c>
      <x:c r="H73" t="str">
        <x:v>완료</x:v>
      </x:c>
      <x:c r="I73"/>
      <x:c r="J73" s="22" t="n">
        <x:f>F73*G73</x:f>
        <x:v>73200</x:v>
      </x:c>
      <x:c r="K73" s="22" t="n">
        <x:f>ROUND(J73*10%,0)</x:f>
        <x:v>7320</x:v>
      </x:c>
      <x:c r="L73" s="22" t="n">
        <x:f>J73+K73</x:f>
        <x:v>80520</x:v>
      </x:c>
      <x:c r="M73" s="22" t="n">
        <x:f>IF(H73="완료",0,L73)</x:f>
        <x:v>0</x:v>
      </x:c>
    </x:row>
    <x:row r="74" ht="22" customHeight="1">
      <x:c r="A74" s="18" t="n">
        <x:v>46248</x:v>
      </x:c>
      <x:c r="B74" t="str">
        <x:v>T0055</x:v>
      </x:c>
      <x:c r="C74" t="str">
        <x:v>매입</x:v>
      </x:c>
      <x:c r="D74" t="str">
        <x:v>한빛유통</x:v>
      </x:c>
      <x:c r="E74" t="str">
        <x:v>초코바</x:v>
      </x:c>
      <x:c r="F74" t="n">
        <x:v>68</x:v>
      </x:c>
      <x:c r="G74" s="20" t="n">
        <x:v>700</x:v>
      </x:c>
      <x:c r="H74" t="str">
        <x:v>미지급</x:v>
      </x:c>
      <x:c r="I74"/>
      <x:c r="J74" s="22" t="n">
        <x:f>F74*G74</x:f>
        <x:v>47600</x:v>
      </x:c>
      <x:c r="K74" s="22" t="n">
        <x:f>ROUND(J74*10%,0)</x:f>
        <x:v>4760</x:v>
      </x:c>
      <x:c r="L74" s="22" t="n">
        <x:f>J74+K74</x:f>
        <x:v>52360</x:v>
      </x:c>
      <x:c r="M74" s="22" t="n">
        <x:f>IF(H74="완료",0,L74)</x:f>
        <x:v>52360</x:v>
      </x:c>
    </x:row>
    <x:row r="75" ht="22" customHeight="1">
      <x:c r="A75" s="18" t="n">
        <x:v>46252</x:v>
      </x:c>
      <x:c r="B75" t="str">
        <x:v>T0056</x:v>
      </x:c>
      <x:c r="C75" t="str">
        <x:v>매출</x:v>
      </x:c>
      <x:c r="D75" t="str">
        <x:v>미래식품</x:v>
      </x:c>
      <x:c r="E75" t="str">
        <x:v>생수 500ml</x:v>
      </x:c>
      <x:c r="F75" t="n">
        <x:v>11</x:v>
      </x:c>
      <x:c r="G75" s="20" t="n">
        <x:v>850</x:v>
      </x:c>
      <x:c r="H75" t="str">
        <x:v>완료</x:v>
      </x:c>
      <x:c r="I75"/>
      <x:c r="J75" s="22" t="n">
        <x:f>F75*G75</x:f>
        <x:v>9350</x:v>
      </x:c>
      <x:c r="K75" s="22" t="n">
        <x:f>ROUND(J75*10%,0)</x:f>
        <x:v>935</x:v>
      </x:c>
      <x:c r="L75" s="22" t="n">
        <x:f>J75+K75</x:f>
        <x:v>10285</x:v>
      </x:c>
      <x:c r="M75" s="22" t="n">
        <x:f>IF(H75="완료",0,L75)</x:f>
        <x:v>0</x:v>
      </x:c>
    </x:row>
    <x:row r="76" ht="22" customHeight="1">
      <x:c r="A76" s="18" t="n">
        <x:v>46256</x:v>
      </x:c>
      <x:c r="B76" t="str">
        <x:v>T0057</x:v>
      </x:c>
      <x:c r="C76" t="str">
        <x:v>매출</x:v>
      </x:c>
      <x:c r="D76" t="str">
        <x:v>그린마트</x:v>
      </x:c>
      <x:c r="E76" t="str">
        <x:v>감자칩</x:v>
      </x:c>
      <x:c r="F76" t="n">
        <x:v>18</x:v>
      </x:c>
      <x:c r="G76" s="20" t="n">
        <x:v>1950</x:v>
      </x:c>
      <x:c r="H76" t="str">
        <x:v>완료</x:v>
      </x:c>
      <x:c r="I76"/>
      <x:c r="J76" s="22" t="n">
        <x:f>F76*G76</x:f>
        <x:v>35100</x:v>
      </x:c>
      <x:c r="K76" s="22" t="n">
        <x:f>ROUND(J76*10%,0)</x:f>
        <x:v>3510</x:v>
      </x:c>
      <x:c r="L76" s="22" t="n">
        <x:f>J76+K76</x:f>
        <x:v>38610</x:v>
      </x:c>
      <x:c r="M76" s="22" t="n">
        <x:f>IF(H76="완료",0,L76)</x:f>
        <x:v>0</x:v>
      </x:c>
    </x:row>
    <x:row r="77" ht="22" customHeight="1">
      <x:c r="A77" s="18" t="n">
        <x:v>46260</x:v>
      </x:c>
      <x:c r="B77" t="str">
        <x:v>T0058</x:v>
      </x:c>
      <x:c r="C77" t="str">
        <x:v>매입</x:v>
      </x:c>
      <x:c r="D77" t="str">
        <x:v>다온산업</x:v>
      </x:c>
      <x:c r="E77" t="str">
        <x:v>물티슈 30매</x:v>
      </x:c>
      <x:c r="F77" t="n">
        <x:v>25</x:v>
      </x:c>
      <x:c r="G77" s="20" t="n">
        <x:v>920</x:v>
      </x:c>
      <x:c r="H77" t="str">
        <x:v>미지급</x:v>
      </x:c>
      <x:c r="I77"/>
      <x:c r="J77" s="22" t="n">
        <x:f>F77*G77</x:f>
        <x:v>23000</x:v>
      </x:c>
      <x:c r="K77" s="22" t="n">
        <x:f>ROUND(J77*10%,0)</x:f>
        <x:v>2300</x:v>
      </x:c>
      <x:c r="L77" s="22" t="n">
        <x:f>J77+K77</x:f>
        <x:v>25300</x:v>
      </x:c>
      <x:c r="M77" s="22" t="n">
        <x:f>IF(H77="완료",0,L77)</x:f>
        <x:v>25300</x:v>
      </x:c>
    </x:row>
    <x:row r="78" ht="22" customHeight="1">
      <x:c r="A78" s="18" t="n">
        <x:v>46264</x:v>
      </x:c>
      <x:c r="B78" t="str">
        <x:v>T0059</x:v>
      </x:c>
      <x:c r="C78" t="str">
        <x:v>매출</x:v>
      </x:c>
      <x:c r="D78" t="str">
        <x:v>푸른유통</x:v>
      </x:c>
      <x:c r="E78" t="str">
        <x:v>캔커피</x:v>
      </x:c>
      <x:c r="F78" t="n">
        <x:v>32</x:v>
      </x:c>
      <x:c r="G78" s="20" t="n">
        <x:v>1200</x:v>
      </x:c>
      <x:c r="H78" t="str">
        <x:v>완료</x:v>
      </x:c>
      <x:c r="I78"/>
      <x:c r="J78" s="22" t="n">
        <x:f>F78*G78</x:f>
        <x:v>38400</x:v>
      </x:c>
      <x:c r="K78" s="22" t="n">
        <x:f>ROUND(J78*10%,0)</x:f>
        <x:v>3840</x:v>
      </x:c>
      <x:c r="L78" s="22" t="n">
        <x:f>J78+K78</x:f>
        <x:v>42240</x:v>
      </x:c>
      <x:c r="M78" s="22" t="n">
        <x:f>IF(H78="완료",0,L78)</x:f>
        <x:v>0</x:v>
      </x:c>
    </x:row>
    <x:row r="79" ht="22" customHeight="1">
      <x:c r="A79" s="18" t="n">
        <x:v>46268</x:v>
      </x:c>
      <x:c r="B79" t="str">
        <x:v>T0060</x:v>
      </x:c>
      <x:c r="C79" t="str">
        <x:v>매입</x:v>
      </x:c>
      <x:c r="D79" t="str">
        <x:v>한빛유통</x:v>
      </x:c>
      <x:c r="E79" t="str">
        <x:v>초코바</x:v>
      </x:c>
      <x:c r="F79" t="n">
        <x:v>39</x:v>
      </x:c>
      <x:c r="G79" s="20" t="n">
        <x:v>700</x:v>
      </x:c>
      <x:c r="H79" t="str">
        <x:v>완료</x:v>
      </x:c>
      <x:c r="I79"/>
      <x:c r="J79" s="22" t="n">
        <x:f>F79*G79</x:f>
        <x:v>27300</x:v>
      </x:c>
      <x:c r="K79" s="22" t="n">
        <x:f>ROUND(J79*10%,0)</x:f>
        <x:v>2730</x:v>
      </x:c>
      <x:c r="L79" s="22" t="n">
        <x:f>J79+K79</x:f>
        <x:v>30030</x:v>
      </x:c>
      <x:c r="M79" s="22" t="n">
        <x:f>IF(H79="완료",0,L79)</x:f>
        <x:v>0</x:v>
      </x:c>
    </x:row>
    <x:row r="80" ht="22" customHeight="1">
      <x:c r="A80" s="18" t="n">
        <x:v>46273</x:v>
      </x:c>
      <x:c r="B80" t="str">
        <x:v>T0061</x:v>
      </x:c>
      <x:c r="C80" t="str">
        <x:v>매출</x:v>
      </x:c>
      <x:c r="D80" t="str">
        <x:v>미래식품</x:v>
      </x:c>
      <x:c r="E80" t="str">
        <x:v>생수 500ml</x:v>
      </x:c>
      <x:c r="F80" t="n">
        <x:v>46</x:v>
      </x:c>
      <x:c r="G80" s="20" t="n">
        <x:v>850</x:v>
      </x:c>
      <x:c r="H80" t="str">
        <x:v>완료</x:v>
      </x:c>
      <x:c r="I80"/>
      <x:c r="J80" s="22" t="n">
        <x:f>F80*G80</x:f>
        <x:v>39100</x:v>
      </x:c>
      <x:c r="K80" s="22" t="n">
        <x:f>ROUND(J80*10%,0)</x:f>
        <x:v>3910</x:v>
      </x:c>
      <x:c r="L80" s="22" t="n">
        <x:f>J80+K80</x:f>
        <x:v>43010</x:v>
      </x:c>
      <x:c r="M80" s="22" t="n">
        <x:f>IF(H80="완료",0,L80)</x:f>
        <x:v>0</x:v>
      </x:c>
    </x:row>
    <x:row r="81" ht="22" customHeight="1">
      <x:c r="A81" s="18" t="n">
        <x:v>46277</x:v>
      </x:c>
      <x:c r="B81" t="str">
        <x:v>T0062</x:v>
      </x:c>
      <x:c r="C81" t="str">
        <x:v>매출</x:v>
      </x:c>
      <x:c r="D81" t="str">
        <x:v>우리상사</x:v>
      </x:c>
      <x:c r="E81" t="str">
        <x:v>감자칩</x:v>
      </x:c>
      <x:c r="F81" t="n">
        <x:v>53</x:v>
      </x:c>
      <x:c r="G81" s="20" t="n">
        <x:v>1950</x:v>
      </x:c>
      <x:c r="H81" t="str">
        <x:v>미수</x:v>
      </x:c>
      <x:c r="I81"/>
      <x:c r="J81" s="22" t="n">
        <x:f>F81*G81</x:f>
        <x:v>103350</x:v>
      </x:c>
      <x:c r="K81" s="22" t="n">
        <x:f>ROUND(J81*10%,0)</x:f>
        <x:v>10335</x:v>
      </x:c>
      <x:c r="L81" s="22" t="n">
        <x:f>J81+K81</x:f>
        <x:v>113685</x:v>
      </x:c>
      <x:c r="M81" s="22" t="n">
        <x:f>IF(H81="완료",0,L81)</x:f>
        <x:v>113685</x:v>
      </x:c>
    </x:row>
    <x:row r="82" ht="22" customHeight="1">
      <x:c r="A82" s="18" t="n">
        <x:v>46281</x:v>
      </x:c>
      <x:c r="B82" t="str">
        <x:v>T0063</x:v>
      </x:c>
      <x:c r="C82" t="str">
        <x:v>매입</x:v>
      </x:c>
      <x:c r="D82" t="str">
        <x:v>다온산업</x:v>
      </x:c>
      <x:c r="E82" t="str">
        <x:v>물티슈 30매</x:v>
      </x:c>
      <x:c r="F82" t="n">
        <x:v>60</x:v>
      </x:c>
      <x:c r="G82" s="20" t="n">
        <x:v>920</x:v>
      </x:c>
      <x:c r="H82" t="str">
        <x:v>완료</x:v>
      </x:c>
      <x:c r="I82"/>
      <x:c r="J82" s="22" t="n">
        <x:f>F82*G82</x:f>
        <x:v>55200</x:v>
      </x:c>
      <x:c r="K82" s="22" t="n">
        <x:f>ROUND(J82*10%,0)</x:f>
        <x:v>5520</x:v>
      </x:c>
      <x:c r="L82" s="22" t="n">
        <x:f>J82+K82</x:f>
        <x:v>60720</x:v>
      </x:c>
      <x:c r="M82" s="22" t="n">
        <x:f>IF(H82="완료",0,L82)</x:f>
        <x:v>0</x:v>
      </x:c>
    </x:row>
    <x:row r="83" ht="22" customHeight="1">
      <x:c r="A83" s="18" t="n">
        <x:v>46285</x:v>
      </x:c>
      <x:c r="B83" t="str">
        <x:v>T0064</x:v>
      </x:c>
      <x:c r="C83" t="str">
        <x:v>매출</x:v>
      </x:c>
      <x:c r="D83" t="str">
        <x:v>미래식품</x:v>
      </x:c>
      <x:c r="E83" t="str">
        <x:v>캔커피</x:v>
      </x:c>
      <x:c r="F83" t="n">
        <x:v>67</x:v>
      </x:c>
      <x:c r="G83" s="20" t="n">
        <x:v>1200</x:v>
      </x:c>
      <x:c r="H83" t="str">
        <x:v>완료</x:v>
      </x:c>
      <x:c r="I83"/>
      <x:c r="J83" s="22" t="n">
        <x:f>F83*G83</x:f>
        <x:v>80400</x:v>
      </x:c>
      <x:c r="K83" s="22" t="n">
        <x:f>ROUND(J83*10%,0)</x:f>
        <x:v>8040</x:v>
      </x:c>
      <x:c r="L83" s="22" t="n">
        <x:f>J83+K83</x:f>
        <x:v>88440</x:v>
      </x:c>
      <x:c r="M83" s="22" t="n">
        <x:f>IF(H83="완료",0,L83)</x:f>
        <x:v>0</x:v>
      </x:c>
    </x:row>
    <x:row r="84" ht="22" customHeight="1">
      <x:c r="A84" s="18" t="n">
        <x:v>46289</x:v>
      </x:c>
      <x:c r="B84" t="str">
        <x:v>T0065</x:v>
      </x:c>
      <x:c r="C84" t="str">
        <x:v>매입</x:v>
      </x:c>
      <x:c r="D84" t="str">
        <x:v>동서식품상사</x:v>
      </x:c>
      <x:c r="E84" t="str">
        <x:v>초코바</x:v>
      </x:c>
      <x:c r="F84" t="n">
        <x:v>10</x:v>
      </x:c>
      <x:c r="G84" s="20" t="n">
        <x:v>700</x:v>
      </x:c>
      <x:c r="H84" t="str">
        <x:v>미지급</x:v>
      </x:c>
      <x:c r="I84"/>
      <x:c r="J84" s="22" t="n">
        <x:f>F84*G84</x:f>
        <x:v>7000</x:v>
      </x:c>
      <x:c r="K84" s="22" t="n">
        <x:f>ROUND(J84*10%,0)</x:f>
        <x:v>700</x:v>
      </x:c>
      <x:c r="L84" s="22" t="n">
        <x:f>J84+K84</x:f>
        <x:v>7700</x:v>
      </x:c>
      <x:c r="M84" s="22" t="n">
        <x:f>IF(H84="완료",0,L84)</x:f>
        <x:v>7700</x:v>
      </x:c>
    </x:row>
    <x:row r="85" ht="22" customHeight="1">
      <x:c r="A85" s="18" t="n">
        <x:v>46293</x:v>
      </x:c>
      <x:c r="B85" t="str">
        <x:v>T0066</x:v>
      </x:c>
      <x:c r="C85" t="str">
        <x:v>매출</x:v>
      </x:c>
      <x:c r="D85" t="str">
        <x:v>하나편의점</x:v>
      </x:c>
      <x:c r="E85" t="str">
        <x:v>생수 500ml</x:v>
      </x:c>
      <x:c r="F85" t="n">
        <x:v>17</x:v>
      </x:c>
      <x:c r="G85" s="20" t="n">
        <x:v>850</x:v>
      </x:c>
      <x:c r="H85" t="str">
        <x:v>완료</x:v>
      </x:c>
      <x:c r="I85"/>
      <x:c r="J85" s="22" t="n">
        <x:f>F85*G85</x:f>
        <x:v>14450</x:v>
      </x:c>
      <x:c r="K85" s="22" t="n">
        <x:f>ROUND(J85*10%,0)</x:f>
        <x:v>1445</x:v>
      </x:c>
      <x:c r="L85" s="22" t="n">
        <x:f>J85+K85</x:f>
        <x:v>15895</x:v>
      </x:c>
      <x:c r="M85" s="22" t="n">
        <x:f>IF(H85="완료",0,L85)</x:f>
        <x:v>0</x:v>
      </x:c>
    </x:row>
    <x:row r="86">
      <x:c r="J86" s="20"/>
      <x:c r="K86" s="20"/>
      <x:c r="L86" s="20"/>
      <x:c r="M86" s="20"/>
    </x:row>
    <x:row r="87" ht="26" customHeight="1">
      <x:c r="A87" s="26" t="str">
        <x:v>합계</x:v>
      </x:c>
      <x:c r="B87" s="26"/>
      <x:c r="C87" s="26"/>
      <x:c r="D87" s="26"/>
      <x:c r="E87" s="26"/>
      <x:c r="F87" s="26"/>
      <x:c r="G87" s="26"/>
      <x:c r="H87" s="26"/>
      <x:c r="I87" s="26"/>
      <x:c r="J87" s="27" t="n">
        <x:f>SUM(J6:J85)</x:f>
        <x:v>3681600</x:v>
      </x:c>
      <x:c r="K87" s="27" t="n">
        <x:f>SUM(K6:K85)</x:f>
        <x:v>368160</x:v>
      </x:c>
      <x:c r="L87" s="27" t="n">
        <x:f>SUM(L6:L85)</x:f>
        <x:v>4049760</x:v>
      </x:c>
      <x:c r="M87" s="27" t="n">
        <x:f>SUM(M6:M85)</x:f>
        <x:v>1276330</x:v>
      </x:c>
    </x:row>
  </x:sheetData>
  <x:mergeCells>
    <x:mergeCell ref="A1:M2"/>
    <x:mergeCell ref="A3:M3"/>
  </x:mergeCells>
  <x:conditionalFormatting sqref="M6:M85">
    <x:cfRule type="cellIs" dxfId="1" priority="1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3b2890ca2b5451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5" customHeight="1">
      <x:c r="A1" s="3" t="str">
        <x:v>월별 매출·매입 실적 보고서</x:v>
      </x:c>
      <x:c r="B1" s="3"/>
      <x:c r="C1" s="3"/>
      <x:c r="D1" s="3"/>
      <x:c r="E1" s="3"/>
      <x:c r="F1" s="3"/>
      <x:c r="G1" s="3"/>
      <x:c r="H1" s="3"/>
    </x:row>
    <x:row r="2" ht="25" customHeight="1">
      <x:c r="A2" s="3"/>
      <x:c r="B2" s="3"/>
      <x:c r="C2" s="3"/>
      <x:c r="D2" s="3"/>
      <x:c r="E2" s="3"/>
      <x:c r="F2" s="3"/>
      <x:c r="G2" s="3"/>
      <x:c r="H2" s="3"/>
    </x:row>
    <x:row r="3" ht="27" customHeight="1">
      <x:c r="A3" s="7" t="str">
        <x:v>02_완성예시 원장을 바탕으로 자동 집계됩니다. 매출총이익은 부가세 제외 매출−매입의 단순 차이입니다.</x:v>
      </x:c>
      <x:c r="B3" s="7"/>
      <x:c r="C3" s="7"/>
      <x:c r="D3" s="7"/>
      <x:c r="E3" s="7"/>
      <x:c r="F3" s="7"/>
      <x:c r="G3" s="7"/>
      <x:c r="H3" s="7"/>
    </x:row>
    <x:row r="5" ht="29" customHeight="1">
      <x:c r="A5" s="11" t="str">
        <x:v>월</x:v>
      </x:c>
      <x:c r="B5" s="11" t="str">
        <x:v>매출 공급가액</x:v>
      </x:c>
      <x:c r="C5" s="11" t="str">
        <x:v>매입 공급가액</x:v>
      </x:c>
      <x:c r="D5" s="11" t="str">
        <x:v>차액</x:v>
      </x:c>
      <x:c r="E5" s="11" t="str">
        <x:v>매출 부가세</x:v>
      </x:c>
      <x:c r="F5" s="11" t="str">
        <x:v>매입 부가세</x:v>
      </x:c>
      <x:c r="G5" s="11" t="str">
        <x:v>미수금</x:v>
      </x:c>
      <x:c r="H5" s="11" t="str">
        <x:v>미지급금</x:v>
      </x:c>
    </x:row>
    <x:row r="6">
      <x:c r="A6" t="str">
        <x:v>1월</x:v>
      </x:c>
      <x:c r="B6" s="20" t="n">
        <x:f>SUMIFS('02_완성예시'!$J$6:$J$85,'02_완성예시'!$C$6:$C$85,"매출",'02_완성예시'!$A$6:$A$85,"&gt;="&amp;DATE(2026,1,1),'02_완성예시'!$A$6:$A$85,"&lt;"&amp;EDATE(DATE(2026,1,1),1))</x:f>
        <x:v>557750</x:v>
      </x:c>
      <x:c r="C6" s="20" t="n">
        <x:f>SUMIFS('02_완성예시'!$J$6:$J$85,'02_완성예시'!$C$6:$C$85,"매입",'02_완성예시'!$A$6:$A$85,"&gt;="&amp;DATE(2026,1,1),'02_완성예시'!$A$6:$A$85,"&lt;"&amp;EDATE(DATE(2026,1,1),1))</x:f>
        <x:v>223700</x:v>
      </x:c>
      <x:c r="D6" s="20" t="n">
        <x:f>B6-C6</x:f>
        <x:v>334050</x:v>
      </x:c>
      <x:c r="E6" s="20" t="n">
        <x:f>SUMIFS('02_완성예시'!$K$6:$K$85,'02_완성예시'!$C$6:$C$85,"매출",'02_완성예시'!$A$6:$A$85,"&gt;="&amp;DATE(2026,1,1),'02_완성예시'!$A$6:$A$85,"&lt;"&amp;EDATE(DATE(2026,1,1),1))</x:f>
        <x:v>55775</x:v>
      </x:c>
      <x:c r="F6" s="20" t="n">
        <x:f>SUMIFS('02_완성예시'!$K$6:$K$85,'02_완성예시'!$C$6:$C$85,"매입",'02_완성예시'!$A$6:$A$85,"&gt;="&amp;DATE(2026,1,1),'02_완성예시'!$A$6:$A$85,"&lt;"&amp;EDATE(DATE(2026,1,1),1))</x:f>
        <x:v>22370</x:v>
      </x:c>
      <x:c r="G6" s="20" t="n">
        <x:f>SUMIFS('02_완성예시'!$M$6:$M$85,'02_완성예시'!$C$6:$C$85,"매출",'02_완성예시'!$A$6:$A$85,"&gt;="&amp;DATE(2026,1,1),'02_완성예시'!$A$6:$A$85,"&lt;"&amp;EDATE(DATE(2026,1,1),1))</x:f>
        <x:v>255255</x:v>
      </x:c>
      <x:c r="H6" s="20" t="n">
        <x:f>SUMIFS('02_완성예시'!$M$6:$M$85,'02_완성예시'!$C$6:$C$85,"매입",'02_완성예시'!$A$6:$A$85,"&gt;="&amp;DATE(2026,1,1),'02_완성예시'!$A$6:$A$85,"&lt;"&amp;EDATE(DATE(2026,1,1),1))</x:f>
        <x:v>0</x:v>
      </x:c>
    </x:row>
    <x:row r="7">
      <x:c r="A7" t="str">
        <x:v>2월</x:v>
      </x:c>
      <x:c r="B7" s="20" t="n">
        <x:f>SUMIFS('02_완성예시'!$J$6:$J$85,'02_완성예시'!$C$6:$C$85,"매출",'02_완성예시'!$A$6:$A$85,"&gt;="&amp;DATE(2026,2,1),'02_완성예시'!$A$6:$A$85,"&lt;"&amp;EDATE(DATE(2026,2,1),1))</x:f>
        <x:v>312900</x:v>
      </x:c>
      <x:c r="C7" s="20" t="n">
        <x:f>SUMIFS('02_완성예시'!$J$6:$J$85,'02_완성예시'!$C$6:$C$85,"매입",'02_완성예시'!$A$6:$A$85,"&gt;="&amp;DATE(2026,2,1),'02_완성예시'!$A$6:$A$85,"&lt;"&amp;EDATE(DATE(2026,2,1),1))</x:f>
        <x:v>190440</x:v>
      </x:c>
      <x:c r="D7" s="20" t="n">
        <x:f>B7-C7</x:f>
        <x:v>122460</x:v>
      </x:c>
      <x:c r="E7" s="20" t="n">
        <x:f>SUMIFS('02_완성예시'!$K$6:$K$85,'02_완성예시'!$C$6:$C$85,"매출",'02_완성예시'!$A$6:$A$85,"&gt;="&amp;DATE(2026,2,1),'02_완성예시'!$A$6:$A$85,"&lt;"&amp;EDATE(DATE(2026,2,1),1))</x:f>
        <x:v>31290</x:v>
      </x:c>
      <x:c r="F7" s="20" t="n">
        <x:f>SUMIFS('02_완성예시'!$K$6:$K$85,'02_완성예시'!$C$6:$C$85,"매입",'02_완성예시'!$A$6:$A$85,"&gt;="&amp;DATE(2026,2,1),'02_완성예시'!$A$6:$A$85,"&lt;"&amp;EDATE(DATE(2026,2,1),1))</x:f>
        <x:v>19044</x:v>
      </x:c>
      <x:c r="G7" s="20" t="n">
        <x:f>SUMIFS('02_완성예시'!$M$6:$M$85,'02_완성예시'!$C$6:$C$85,"매출",'02_완성예시'!$A$6:$A$85,"&gt;="&amp;DATE(2026,2,1),'02_완성예시'!$A$6:$A$85,"&lt;"&amp;EDATE(DATE(2026,2,1),1))</x:f>
        <x:v>166705</x:v>
      </x:c>
      <x:c r="H7" s="20" t="n">
        <x:f>SUMIFS('02_완성예시'!$M$6:$M$85,'02_완성예시'!$C$6:$C$85,"매입",'02_완성예시'!$A$6:$A$85,"&gt;="&amp;DATE(2026,2,1),'02_완성예시'!$A$6:$A$85,"&lt;"&amp;EDATE(DATE(2026,2,1),1))</x:f>
        <x:v>30360</x:v>
      </x:c>
    </x:row>
    <x:row r="8">
      <x:c r="A8" t="str">
        <x:v>3월</x:v>
      </x:c>
      <x:c r="B8" s="20" t="n">
        <x:f>SUMIFS('02_완성예시'!$J$6:$J$85,'02_완성예시'!$C$6:$C$85,"매출",'02_완성예시'!$A$6:$A$85,"&gt;="&amp;DATE(2026,3,1),'02_완성예시'!$A$6:$A$85,"&lt;"&amp;EDATE(DATE(2026,3,1),1))</x:f>
        <x:v>318100</x:v>
      </x:c>
      <x:c r="C8" s="20" t="n">
        <x:f>SUMIFS('02_완성예시'!$J$6:$J$85,'02_완성예시'!$C$6:$C$85,"매입",'02_완성예시'!$A$6:$A$85,"&gt;="&amp;DATE(2026,3,1),'02_완성예시'!$A$6:$A$85,"&lt;"&amp;EDATE(DATE(2026,3,1),1))</x:f>
        <x:v>70300</x:v>
      </x:c>
      <x:c r="D8" s="20" t="n">
        <x:f>B8-C8</x:f>
        <x:v>247800</x:v>
      </x:c>
      <x:c r="E8" s="20" t="n">
        <x:f>SUMIFS('02_완성예시'!$K$6:$K$85,'02_완성예시'!$C$6:$C$85,"매출",'02_완성예시'!$A$6:$A$85,"&gt;="&amp;DATE(2026,3,1),'02_완성예시'!$A$6:$A$85,"&lt;"&amp;EDATE(DATE(2026,3,1),1))</x:f>
        <x:v>31810</x:v>
      </x:c>
      <x:c r="F8" s="20" t="n">
        <x:f>SUMIFS('02_완성예시'!$K$6:$K$85,'02_완성예시'!$C$6:$C$85,"매입",'02_완성예시'!$A$6:$A$85,"&gt;="&amp;DATE(2026,3,1),'02_완성예시'!$A$6:$A$85,"&lt;"&amp;EDATE(DATE(2026,3,1),1))</x:f>
        <x:v>7030</x:v>
      </x:c>
      <x:c r="G8" s="20" t="n">
        <x:f>SUMIFS('02_완성예시'!$M$6:$M$85,'02_완성예시'!$C$6:$C$85,"매출",'02_완성예시'!$A$6:$A$85,"&gt;="&amp;DATE(2026,3,1),'02_완성예시'!$A$6:$A$85,"&lt;"&amp;EDATE(DATE(2026,3,1),1))</x:f>
        <x:v>47685</x:v>
      </x:c>
      <x:c r="H8" s="20" t="n">
        <x:f>SUMIFS('02_완성예시'!$M$6:$M$85,'02_완성예시'!$C$6:$C$85,"매입",'02_완성예시'!$A$6:$A$85,"&gt;="&amp;DATE(2026,3,1),'02_완성예시'!$A$6:$A$85,"&lt;"&amp;EDATE(DATE(2026,3,1),1))</x:f>
        <x:v>11550</x:v>
      </x:c>
    </x:row>
    <x:row r="9">
      <x:c r="A9" t="str">
        <x:v>4월</x:v>
      </x:c>
      <x:c r="B9" s="20" t="n">
        <x:f>SUMIFS('02_완성예시'!$J$6:$J$85,'02_완성예시'!$C$6:$C$85,"매출",'02_완성예시'!$A$6:$A$85,"&gt;="&amp;DATE(2026,4,1),'02_완성예시'!$A$6:$A$85,"&lt;"&amp;EDATE(DATE(2026,4,1),1))</x:f>
        <x:v>241650</x:v>
      </x:c>
      <x:c r="C9" s="20" t="n">
        <x:f>SUMIFS('02_완성예시'!$J$6:$J$85,'02_완성예시'!$C$6:$C$85,"매입",'02_완성예시'!$A$6:$A$85,"&gt;="&amp;DATE(2026,4,1),'02_완성예시'!$A$6:$A$85,"&lt;"&amp;EDATE(DATE(2026,4,1),1))</x:f>
        <x:v>133440</x:v>
      </x:c>
      <x:c r="D9" s="20" t="n">
        <x:f>B9-C9</x:f>
        <x:v>108210</x:v>
      </x:c>
      <x:c r="E9" s="20" t="n">
        <x:f>SUMIFS('02_완성예시'!$K$6:$K$85,'02_완성예시'!$C$6:$C$85,"매출",'02_완성예시'!$A$6:$A$85,"&gt;="&amp;DATE(2026,4,1),'02_완성예시'!$A$6:$A$85,"&lt;"&amp;EDATE(DATE(2026,4,1),1))</x:f>
        <x:v>24165</x:v>
      </x:c>
      <x:c r="F9" s="20" t="n">
        <x:f>SUMIFS('02_완성예시'!$K$6:$K$85,'02_완성예시'!$C$6:$C$85,"매입",'02_완성예시'!$A$6:$A$85,"&gt;="&amp;DATE(2026,4,1),'02_완성예시'!$A$6:$A$85,"&lt;"&amp;EDATE(DATE(2026,4,1),1))</x:f>
        <x:v>13344</x:v>
      </x:c>
      <x:c r="G9" s="20" t="n">
        <x:f>SUMIFS('02_완성예시'!$M$6:$M$85,'02_완성예시'!$C$6:$C$85,"매출",'02_완성예시'!$A$6:$A$85,"&gt;="&amp;DATE(2026,4,1),'02_완성예시'!$A$6:$A$85,"&lt;"&amp;EDATE(DATE(2026,4,1),1))</x:f>
        <x:v>137280</x:v>
      </x:c>
      <x:c r="H9" s="20" t="n">
        <x:f>SUMIFS('02_완성예시'!$M$6:$M$85,'02_완성예시'!$C$6:$C$85,"매입",'02_완성예시'!$A$6:$A$85,"&gt;="&amp;DATE(2026,4,1),'02_완성예시'!$A$6:$A$85,"&lt;"&amp;EDATE(DATE(2026,4,1),1))</x:f>
        <x:v>36432</x:v>
      </x:c>
    </x:row>
    <x:row r="10">
      <x:c r="A10" t="str">
        <x:v>5월</x:v>
      </x:c>
      <x:c r="B10" s="20" t="n">
        <x:f>SUMIFS('02_완성예시'!$J$6:$J$85,'02_완성예시'!$C$6:$C$85,"매출",'02_완성예시'!$A$6:$A$85,"&gt;="&amp;DATE(2026,5,1),'02_완성예시'!$A$6:$A$85,"&lt;"&amp;EDATE(DATE(2026,5,1),1))</x:f>
        <x:v>340900</x:v>
      </x:c>
      <x:c r="C10" s="20" t="n">
        <x:f>SUMIFS('02_완성예시'!$J$6:$J$85,'02_완성예시'!$C$6:$C$85,"매입",'02_완성예시'!$A$6:$A$85,"&gt;="&amp;DATE(2026,5,1),'02_완성예시'!$A$6:$A$85,"&lt;"&amp;EDATE(DATE(2026,5,1),1))</x:f>
        <x:v>92540</x:v>
      </x:c>
      <x:c r="D10" s="20" t="n">
        <x:f>B10-C10</x:f>
        <x:v>248360</x:v>
      </x:c>
      <x:c r="E10" s="20" t="n">
        <x:f>SUMIFS('02_완성예시'!$K$6:$K$85,'02_완성예시'!$C$6:$C$85,"매출",'02_완성예시'!$A$6:$A$85,"&gt;="&amp;DATE(2026,5,1),'02_완성예시'!$A$6:$A$85,"&lt;"&amp;EDATE(DATE(2026,5,1),1))</x:f>
        <x:v>34090</x:v>
      </x:c>
      <x:c r="F10" s="20" t="n">
        <x:f>SUMIFS('02_완성예시'!$K$6:$K$85,'02_완성예시'!$C$6:$C$85,"매입",'02_완성예시'!$A$6:$A$85,"&gt;="&amp;DATE(2026,5,1),'02_완성예시'!$A$6:$A$85,"&lt;"&amp;EDATE(DATE(2026,5,1),1))</x:f>
        <x:v>9254</x:v>
      </x:c>
      <x:c r="G10" s="20" t="n">
        <x:f>SUMIFS('02_완성예시'!$M$6:$M$85,'02_완성예시'!$C$6:$C$85,"매출",'02_완성예시'!$A$6:$A$85,"&gt;="&amp;DATE(2026,5,1),'02_완성예시'!$A$6:$A$85,"&lt;"&amp;EDATE(DATE(2026,5,1),1))</x:f>
        <x:v>214830</x:v>
      </x:c>
      <x:c r="H10" s="20" t="n">
        <x:f>SUMIFS('02_완성예시'!$M$6:$M$85,'02_완성예시'!$C$6:$C$85,"매입",'02_완성예시'!$A$6:$A$85,"&gt;="&amp;DATE(2026,5,1),'02_완성예시'!$A$6:$A$85,"&lt;"&amp;EDATE(DATE(2026,5,1),1))</x:f>
        <x:v>16170</x:v>
      </x:c>
    </x:row>
    <x:row r="11">
      <x:c r="A11" t="str">
        <x:v>6월</x:v>
      </x:c>
      <x:c r="B11" s="20" t="n">
        <x:f>SUMIFS('02_완성예시'!$J$6:$J$85,'02_완성예시'!$C$6:$C$85,"매출",'02_완성예시'!$A$6:$A$85,"&gt;="&amp;DATE(2026,6,1),'02_완성예시'!$A$6:$A$85,"&lt;"&amp;EDATE(DATE(2026,6,1),1))</x:f>
        <x:v>198850</x:v>
      </x:c>
      <x:c r="C11" s="20" t="n">
        <x:f>SUMIFS('02_완성예시'!$J$6:$J$85,'02_완성예시'!$C$6:$C$85,"매입",'02_완성예시'!$A$6:$A$85,"&gt;="&amp;DATE(2026,6,1),'02_완성예시'!$A$6:$A$85,"&lt;"&amp;EDATE(DATE(2026,6,1),1))</x:f>
        <x:v>75020</x:v>
      </x:c>
      <x:c r="D11" s="20" t="n">
        <x:f>B11-C11</x:f>
        <x:v>123830</x:v>
      </x:c>
      <x:c r="E11" s="20" t="n">
        <x:f>SUMIFS('02_완성예시'!$K$6:$K$85,'02_완성예시'!$C$6:$C$85,"매출",'02_완성예시'!$A$6:$A$85,"&gt;="&amp;DATE(2026,6,1),'02_완성예시'!$A$6:$A$85,"&lt;"&amp;EDATE(DATE(2026,6,1),1))</x:f>
        <x:v>19885</x:v>
      </x:c>
      <x:c r="F11" s="20" t="n">
        <x:f>SUMIFS('02_완성예시'!$K$6:$K$85,'02_완성예시'!$C$6:$C$85,"매입",'02_완성예시'!$A$6:$A$85,"&gt;="&amp;DATE(2026,6,1),'02_완성예시'!$A$6:$A$85,"&lt;"&amp;EDATE(DATE(2026,6,1),1))</x:f>
        <x:v>7502</x:v>
      </x:c>
      <x:c r="G11" s="20" t="n">
        <x:f>SUMIFS('02_완성예시'!$M$6:$M$85,'02_완성예시'!$C$6:$C$85,"매출",'02_완성예시'!$A$6:$A$85,"&gt;="&amp;DATE(2026,6,1),'02_완성예시'!$A$6:$A$85,"&lt;"&amp;EDATE(DATE(2026,6,1),1))</x:f>
        <x:v>104390</x:v>
      </x:c>
      <x:c r="H11" s="20" t="n">
        <x:f>SUMIFS('02_완성예시'!$M$6:$M$85,'02_완성예시'!$C$6:$C$85,"매입",'02_완성예시'!$A$6:$A$85,"&gt;="&amp;DATE(2026,6,1),'02_완성예시'!$A$6:$A$85,"&lt;"&amp;EDATE(DATE(2026,6,1),1))</x:f>
        <x:v>0</x:v>
      </x:c>
    </x:row>
    <x:row r="12">
      <x:c r="A12" t="str">
        <x:v>7월</x:v>
      </x:c>
      <x:c r="B12" s="20" t="n">
        <x:f>SUMIFS('02_완성예시'!$J$6:$J$85,'02_완성예시'!$C$6:$C$85,"매출",'02_완성예시'!$A$6:$A$85,"&gt;="&amp;DATE(2026,7,1),'02_완성예시'!$A$6:$A$85,"&lt;"&amp;EDATE(DATE(2026,7,1),1))</x:f>
        <x:v>147250</x:v>
      </x:c>
      <x:c r="C12" s="20" t="n">
        <x:f>SUMIFS('02_완성예시'!$J$6:$J$85,'02_완성예시'!$C$6:$C$85,"매입",'02_완성예시'!$A$6:$A$85,"&gt;="&amp;DATE(2026,7,1),'02_완성예시'!$A$6:$A$85,"&lt;"&amp;EDATE(DATE(2026,7,1),1))</x:f>
        <x:v>83980</x:v>
      </x:c>
      <x:c r="D12" s="20" t="n">
        <x:f>B12-C12</x:f>
        <x:v>63270</x:v>
      </x:c>
      <x:c r="E12" s="20" t="n">
        <x:f>SUMIFS('02_완성예시'!$K$6:$K$85,'02_완성예시'!$C$6:$C$85,"매출",'02_완성예시'!$A$6:$A$85,"&gt;="&amp;DATE(2026,7,1),'02_완성예시'!$A$6:$A$85,"&lt;"&amp;EDATE(DATE(2026,7,1),1))</x:f>
        <x:v>14725</x:v>
      </x:c>
      <x:c r="F12" s="20" t="n">
        <x:f>SUMIFS('02_완성예시'!$K$6:$K$85,'02_완성예시'!$C$6:$C$85,"매입",'02_완성예시'!$A$6:$A$85,"&gt;="&amp;DATE(2026,7,1),'02_완성예시'!$A$6:$A$85,"&lt;"&amp;EDATE(DATE(2026,7,1),1))</x:f>
        <x:v>8398</x:v>
      </x:c>
      <x:c r="G12" s="20" t="n">
        <x:f>SUMIFS('02_완성예시'!$M$6:$M$85,'02_완성예시'!$C$6:$C$85,"매출",'02_완성예시'!$A$6:$A$85,"&gt;="&amp;DATE(2026,7,1),'02_완성예시'!$A$6:$A$85,"&lt;"&amp;EDATE(DATE(2026,7,1),1))</x:f>
        <x:v>37400</x:v>
      </x:c>
      <x:c r="H12" s="20" t="n">
        <x:f>SUMIFS('02_완성예시'!$M$6:$M$85,'02_완성예시'!$C$6:$C$85,"매입",'02_완성예시'!$A$6:$A$85,"&gt;="&amp;DATE(2026,7,1),'02_완성예시'!$A$6:$A$85,"&lt;"&amp;EDATE(DATE(2026,7,1),1))</x:f>
        <x:v>19228</x:v>
      </x:c>
    </x:row>
    <x:row r="13">
      <x:c r="A13" t="str">
        <x:v>8월</x:v>
      </x:c>
      <x:c r="B13" s="20" t="n">
        <x:f>SUMIFS('02_완성예시'!$J$6:$J$85,'02_완성예시'!$C$6:$C$85,"매출",'02_완성예시'!$A$6:$A$85,"&gt;="&amp;DATE(2026,8,1),'02_완성예시'!$A$6:$A$85,"&lt;"&amp;EDATE(DATE(2026,8,1),1))</x:f>
        <x:v>247700</x:v>
      </x:c>
      <x:c r="C13" s="20" t="n">
        <x:f>SUMIFS('02_완성예시'!$J$6:$J$85,'02_완성예시'!$C$6:$C$85,"매입",'02_완성예시'!$A$6:$A$85,"&gt;="&amp;DATE(2026,8,1),'02_완성예시'!$A$6:$A$85,"&lt;"&amp;EDATE(DATE(2026,8,1),1))</x:f>
        <x:v>120280</x:v>
      </x:c>
      <x:c r="D13" s="20" t="n">
        <x:f>B13-C13</x:f>
        <x:v>127420</x:v>
      </x:c>
      <x:c r="E13" s="20" t="n">
        <x:f>SUMIFS('02_완성예시'!$K$6:$K$85,'02_완성예시'!$C$6:$C$85,"매출",'02_완성예시'!$A$6:$A$85,"&gt;="&amp;DATE(2026,8,1),'02_완성예시'!$A$6:$A$85,"&lt;"&amp;EDATE(DATE(2026,8,1),1))</x:f>
        <x:v>24770</x:v>
      </x:c>
      <x:c r="F13" s="20" t="n">
        <x:f>SUMIFS('02_완성예시'!$K$6:$K$85,'02_완성예시'!$C$6:$C$85,"매입",'02_완성예시'!$A$6:$A$85,"&gt;="&amp;DATE(2026,8,1),'02_완성예시'!$A$6:$A$85,"&lt;"&amp;EDATE(DATE(2026,8,1),1))</x:f>
        <x:v>12028</x:v>
      </x:c>
      <x:c r="G13" s="20" t="n">
        <x:f>SUMIFS('02_완성예시'!$M$6:$M$85,'02_완성예시'!$C$6:$C$85,"매출",'02_완성예시'!$A$6:$A$85,"&gt;="&amp;DATE(2026,8,1),'02_완성예시'!$A$6:$A$85,"&lt;"&amp;EDATE(DATE(2026,8,1),1))</x:f>
        <x:v>0</x:v>
      </x:c>
      <x:c r="H13" s="20" t="n">
        <x:f>SUMIFS('02_완성예시'!$M$6:$M$85,'02_완성예시'!$C$6:$C$85,"매입",'02_완성예시'!$A$6:$A$85,"&gt;="&amp;DATE(2026,8,1),'02_완성예시'!$A$6:$A$85,"&lt;"&amp;EDATE(DATE(2026,8,1),1))</x:f>
        <x:v>77660</x:v>
      </x:c>
    </x:row>
    <x:row r="14">
      <x:c r="A14" t="str">
        <x:v>9월</x:v>
      </x:c>
      <x:c r="B14" s="20" t="n">
        <x:f>SUMIFS('02_완성예시'!$J$6:$J$85,'02_완성예시'!$C$6:$C$85,"매출",'02_완성예시'!$A$6:$A$85,"&gt;="&amp;DATE(2026,9,1),'02_완성예시'!$A$6:$A$85,"&lt;"&amp;EDATE(DATE(2026,9,1),1))</x:f>
        <x:v>237300</x:v>
      </x:c>
      <x:c r="C14" s="20" t="n">
        <x:f>SUMIFS('02_완성예시'!$J$6:$J$85,'02_완성예시'!$C$6:$C$85,"매입",'02_완성예시'!$A$6:$A$85,"&gt;="&amp;DATE(2026,9,1),'02_완성예시'!$A$6:$A$85,"&lt;"&amp;EDATE(DATE(2026,9,1),1))</x:f>
        <x:v>89500</x:v>
      </x:c>
      <x:c r="D14" s="20" t="n">
        <x:f>B14-C14</x:f>
        <x:v>147800</x:v>
      </x:c>
      <x:c r="E14" s="20" t="n">
        <x:f>SUMIFS('02_완성예시'!$K$6:$K$85,'02_완성예시'!$C$6:$C$85,"매출",'02_완성예시'!$A$6:$A$85,"&gt;="&amp;DATE(2026,9,1),'02_완성예시'!$A$6:$A$85,"&lt;"&amp;EDATE(DATE(2026,9,1),1))</x:f>
        <x:v>23730</x:v>
      </x:c>
      <x:c r="F14" s="20" t="n">
        <x:f>SUMIFS('02_완성예시'!$K$6:$K$85,'02_완성예시'!$C$6:$C$85,"매입",'02_완성예시'!$A$6:$A$85,"&gt;="&amp;DATE(2026,9,1),'02_완성예시'!$A$6:$A$85,"&lt;"&amp;EDATE(DATE(2026,9,1),1))</x:f>
        <x:v>8950</x:v>
      </x:c>
      <x:c r="G14" s="20" t="n">
        <x:f>SUMIFS('02_완성예시'!$M$6:$M$85,'02_완성예시'!$C$6:$C$85,"매출",'02_완성예시'!$A$6:$A$85,"&gt;="&amp;DATE(2026,9,1),'02_완성예시'!$A$6:$A$85,"&lt;"&amp;EDATE(DATE(2026,9,1),1))</x:f>
        <x:v>113685</x:v>
      </x:c>
      <x:c r="H14" s="20" t="n">
        <x:f>SUMIFS('02_완성예시'!$M$6:$M$85,'02_완성예시'!$C$6:$C$85,"매입",'02_완성예시'!$A$6:$A$85,"&gt;="&amp;DATE(2026,9,1),'02_완성예시'!$A$6:$A$85,"&lt;"&amp;EDATE(DATE(2026,9,1),1))</x:f>
        <x:v>7700</x:v>
      </x:c>
    </x:row>
    <x:row r="15">
      <x:c r="A15" t="str">
        <x:v>10월</x:v>
      </x:c>
      <x:c r="B15" s="20" t="n">
        <x:f>SUMIFS('02_완성예시'!$J$6:$J$85,'02_완성예시'!$C$6:$C$85,"매출",'02_완성예시'!$A$6:$A$85,"&gt;="&amp;DATE(2026,10,1),'02_완성예시'!$A$6:$A$85,"&lt;"&amp;EDATE(DATE(2026,10,1),1))</x:f>
        <x:v>0</x:v>
      </x:c>
      <x:c r="C15" s="20" t="n">
        <x:f>SUMIFS('02_완성예시'!$J$6:$J$85,'02_완성예시'!$C$6:$C$85,"매입",'02_완성예시'!$A$6:$A$85,"&gt;="&amp;DATE(2026,10,1),'02_완성예시'!$A$6:$A$85,"&lt;"&amp;EDATE(DATE(2026,10,1),1))</x:f>
        <x:v>0</x:v>
      </x:c>
      <x:c r="D15" s="20" t="n">
        <x:f>B15-C15</x:f>
        <x:v>0</x:v>
      </x:c>
      <x:c r="E15" s="20" t="n">
        <x:f>SUMIFS('02_완성예시'!$K$6:$K$85,'02_완성예시'!$C$6:$C$85,"매출",'02_완성예시'!$A$6:$A$85,"&gt;="&amp;DATE(2026,10,1),'02_완성예시'!$A$6:$A$85,"&lt;"&amp;EDATE(DATE(2026,10,1),1))</x:f>
        <x:v>0</x:v>
      </x:c>
      <x:c r="F15" s="20" t="n">
        <x:f>SUMIFS('02_완성예시'!$K$6:$K$85,'02_완성예시'!$C$6:$C$85,"매입",'02_완성예시'!$A$6:$A$85,"&gt;="&amp;DATE(2026,10,1),'02_완성예시'!$A$6:$A$85,"&lt;"&amp;EDATE(DATE(2026,10,1),1))</x:f>
        <x:v>0</x:v>
      </x:c>
      <x:c r="G15" s="20" t="n">
        <x:f>SUMIFS('02_완성예시'!$M$6:$M$85,'02_완성예시'!$C$6:$C$85,"매출",'02_완성예시'!$A$6:$A$85,"&gt;="&amp;DATE(2026,10,1),'02_완성예시'!$A$6:$A$85,"&lt;"&amp;EDATE(DATE(2026,10,1),1))</x:f>
        <x:v>0</x:v>
      </x:c>
      <x:c r="H15" s="20" t="n">
        <x:f>SUMIFS('02_완성예시'!$M$6:$M$85,'02_완성예시'!$C$6:$C$85,"매입",'02_완성예시'!$A$6:$A$85,"&gt;="&amp;DATE(2026,10,1),'02_완성예시'!$A$6:$A$85,"&lt;"&amp;EDATE(DATE(2026,10,1),1))</x:f>
        <x:v>0</x:v>
      </x:c>
    </x:row>
    <x:row r="16">
      <x:c r="B16" s="20"/>
      <x:c r="C16" s="20"/>
      <x:c r="D16" s="20"/>
      <x:c r="E16" s="20"/>
      <x:c r="F16" s="20"/>
      <x:c r="G16" s="20"/>
      <x:c r="H16" s="20"/>
    </x:row>
    <x:row r="17" ht="27" customHeight="1">
      <x:c r="A17" s="26" t="str">
        <x:v>전체</x:v>
      </x:c>
      <x:c r="B17" s="27" t="n">
        <x:f>SUM(B6:B15)</x:f>
        <x:v>2602400</x:v>
      </x:c>
      <x:c r="C17" s="27" t="n">
        <x:f>SUM(C6:C15)</x:f>
        <x:v>1079200</x:v>
      </x:c>
      <x:c r="D17" s="27" t="n">
        <x:f>SUM(D6:D15)</x:f>
        <x:v>1523200</x:v>
      </x:c>
      <x:c r="E17" s="27" t="n">
        <x:f>SUM(E6:E15)</x:f>
        <x:v>260240</x:v>
      </x:c>
      <x:c r="F17" s="27" t="n">
        <x:f>SUM(F6:F15)</x:f>
        <x:v>107920</x:v>
      </x:c>
      <x:c r="G17" s="27" t="n">
        <x:f>SUM(G6:G15)</x:f>
        <x:v>1077230</x:v>
      </x:c>
      <x:c r="H17" s="27" t="n">
        <x:f>SUM(H6:H15)</x:f>
        <x:v>199100</x:v>
      </x:c>
    </x:row>
  </x:sheetData>
  <x:mergeCells>
    <x:mergeCell ref="A1:H2"/>
    <x:mergeCell ref="A3:H3"/>
  </x:mergeCells>
  <x:conditionalFormatting sqref="D6:D15">
    <x:cfRule type="cellIs" dxfId="2" priority="1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772c68926c6146cd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6" hidden="0" customWidth="1"/>
  </x:cols>
  <x:sheetData>
    <x:row r="1" ht="26" customHeight="1">
      <x:c r="A1" s="32" t="str">
        <x:v>매출·매입 관리표 | 엑셀 실습 가이드</x:v>
      </x:c>
      <x:c r="B1" s="32"/>
      <x:c r="C1" s="32"/>
      <x:c r="D1" s="32"/>
      <x:c r="E1" s="32"/>
      <x:c r="F1" s="32"/>
    </x:row>
    <x:row r="2" ht="26" customHeight="1">
      <x:c r="A2" s="32"/>
      <x:c r="B2" s="32"/>
      <x:c r="C2" s="32"/>
      <x:c r="D2" s="32"/>
      <x:c r="E2" s="32"/>
      <x:c r="F2" s="32"/>
    </x:row>
    <x:row r="4" ht="39" customHeight="1">
      <x:c r="A4" s="34" t="str">
        <x:v>학습 목표</x:v>
      </x:c>
      <x:c r="B4" s="36" t="str">
        <x:v>80건의 거래자료로 금액계산, 미수·미지급액 확인, 거래분류 필터, 월별 실적표를 완성한다.</x:v>
      </x:c>
    </x:row>
    <x:row r="5" ht="39" customHeight="1">
      <x:c r="A5" s="34" t="str">
        <x:v>1. 공급가액 (J6)</x:v>
      </x:c>
      <x:c r="B5" s="36" t="n">
        <x:f>F6*G6</x:f>
        <x:v>0</x:v>
      </x:c>
    </x:row>
    <x:row r="6" ht="39" customHeight="1">
      <x:c r="A6" s="34" t="str">
        <x:v>2. 부가세 (K6)</x:v>
      </x:c>
      <x:c r="B6" s="36" t="n">
        <x:f>ROUND(J6*10%,0)</x:f>
        <x:v>0</x:v>
      </x:c>
    </x:row>
    <x:row r="7" ht="39" customHeight="1">
      <x:c r="A7" s="34" t="str">
        <x:v>3. 합계금액 (L6)</x:v>
      </x:c>
      <x:c r="B7" s="36" t="n">
        <x:f>J6+K6</x:f>
        <x:v>0</x:v>
      </x:c>
    </x:row>
    <x:row r="8" ht="39" customHeight="1">
      <x:c r="A8" s="34" t="str">
        <x:v>4. 미결제금액 (M6)</x:v>
      </x:c>
      <x:c r="B8" s="36" t="e">
        <x:f>IF(H6="완료",0,L6)</x:f>
        <x:v>#VALUE!</x:v>
      </x:c>
    </x:row>
    <x:row r="9" ht="39" customHeight="1">
      <x:c r="A9" s="34" t="str">
        <x:v>5. 자동 채우기</x:v>
      </x:c>
      <x:c r="B9" s="36" t="str">
        <x:v>J6:M6의 수식을 85행까지 자동 채우기</x:v>
      </x:c>
    </x:row>
    <x:row r="10" ht="39" customHeight="1">
      <x:c r="A10" s="34" t="str">
        <x:v>6. 합계 계산</x:v>
      </x:c>
      <x:c r="B10" s="36" t="str">
        <x:v>J87=SUM(J6:J85), K87~M87에도 각 열에 맞는 SUM</x:v>
      </x:c>
    </x:row>
    <x:row r="11" ht="39" customHeight="1">
      <x:c r="A11" s="34" t="str">
        <x:v>7. 필터 연습</x:v>
      </x:c>
      <x:c r="B11" s="36" t="str">
        <x:v>구분=매출만 표시하고 미수 상태 거래 찾기 / 매입·미지급 상태도 찾기</x:v>
      </x:c>
    </x:row>
    <x:row r="12" ht="39" customHeight="1">
      <x:c r="A12" s="34" t="str">
        <x:v>8. 조건부서식</x:v>
      </x:c>
      <x:c r="B12" s="36" t="str">
        <x:v>미결제금액(M열)이 0보다 큰 거래를 빨간색으로 강조</x:v>
      </x:c>
    </x:row>
    <x:row r="13" ht="39" customHeight="1">
      <x:c r="A13" s="34" t="str">
        <x:v>9. SUMIF 연습</x:v>
      </x:c>
      <x:c r="B13" s="36" t="n">
        <x:f>SUMIF(C6:C85,"매출",J6:J85)</x:f>
        <x:v>0</x:v>
      </x:c>
    </x:row>
    <x:row r="14" ht="39" customHeight="1">
      <x:c r="A14" s="34" t="str">
        <x:v>10. 거래처별 집계</x:v>
      </x:c>
      <x:c r="B14" s="36" t="str">
        <x:v>원장 범위를 피벗테이블로 만들고 거래처별 합계금액 집계</x:v>
      </x:c>
    </x:row>
    <x:row r="15" ht="39" customHeight="1">
      <x:c r="A15" s="34" t="str">
        <x:v>11. 월별 보고서</x:v>
      </x:c>
      <x:c r="B15" s="36" t="str">
        <x:v>03_월별집계 시트에서 매출·매입금액, 미수금·미지급금 확인</x:v>
      </x:c>
    </x:row>
    <x:row r="16" ht="39" customHeight="1">
      <x:c r="A16" s="34" t="str">
        <x:v>유의사항</x:v>
      </x:c>
      <x:c r="B16" s="36" t="str">
        <x:v>실습을 위한 가상 가격·거래처·거래자료입니다. 간편 계산을 위해 전 상품에 부가세 10%를 적용한 것으로 가정합니다.</x:v>
      </x:c>
    </x:row>
    <x:row r="17" ht="39" customHeight="1">
      <x:c r="A17" s="34" t="str">
        <x:v>실무 참고</x:v>
      </x:c>
      <x:c r="B17" s="36" t="str">
        <x:v>면세 거래, 할인, 반품, 부분수금, 매출원가, 기간별 이익 계산 등 실제 회계 처리는 별도 관리가 필요합니다.</x:v>
      </x:c>
    </x:row>
  </x:sheetData>
  <x:mergeCells>
    <x:mergeCell ref="A1:F2"/>
  </x:mergeCells>
  <x:pageMargins left="0.7" right="0.7" top="0.75" bottom="0.75" header="0.3" footer="0.3"/>
</x:worksheet>
</file>