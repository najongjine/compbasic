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bc57ffba0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생산실적_실습" sheetId="1" r:id="Rf1e9d000f7b04324"/>
    <x:sheet xmlns:r="http://schemas.openxmlformats.org/officeDocument/2006/relationships" name="02_완성예시" sheetId="2" r:id="Ra19cf5955b234890"/>
    <x:sheet xmlns:r="http://schemas.openxmlformats.org/officeDocument/2006/relationships" name="03_월간보고서" sheetId="3" r:id="R0f70a051f741402f"/>
    <x:sheet xmlns:r="http://schemas.openxmlformats.org/officeDocument/2006/relationships" name="04_실습안내" sheetId="4" r:id="Ra29a2cf48934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#,##0"/>
    <x:numFmt numFmtId="203" formatCode="+#,##0;-#,##0;0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8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7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D"/>
      </x:patternFill>
    </x:fill>
    <x:fill>
      <x:patternFill patternType="solid">
        <x:fgColor rgb="FFEAF1F5"/>
      </x:patternFill>
    </x:fill>
    <x:fill>
      <x:patternFill patternType="solid">
        <x:fgColor rgb="FF176B7A"/>
      </x:patternFill>
    </x:fill>
    <x:fill>
      <x:patternFill patternType="solid">
        <x:fgColor rgb="FFE4F4F6"/>
      </x:patternFill>
    </x:fill>
    <x:fill>
      <x:patternFill patternType="solid">
        <x:fgColor rgb="FFD9E6ED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A32E24"/>
      </x:font>
      <x:fill>
        <x:patternFill patternType="solid">
          <x:bgColor rgb="FFFDE9E7"/>
        </x:patternFill>
      </x:fill>
    </x:dxf>
    <x:dxf>
      <x:font>
        <x:b/>
        <x:color rgb="FF995B0E"/>
      </x:font>
      <x:fill>
        <x:patternFill patternType="solid">
          <x:bgColor rgb="FFFFF2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a08dc5efb4d9c" /><Relationship Type="http://schemas.openxmlformats.org/officeDocument/2006/relationships/theme" Target="/xl/theme/theme1.xml" Id="R01f233d61efb4086" /><Relationship Type="http://schemas.openxmlformats.org/officeDocument/2006/relationships/sharedStrings" Target="/xl/sharedStrings.xml" Id="Rf041d2c30bfc46eb" /><Relationship Type="http://schemas.openxmlformats.org/officeDocument/2006/relationships/worksheet" Target="/xl/worksheets/sheet1.xml" Id="Rf1e9d000f7b04324" /><Relationship Type="http://schemas.openxmlformats.org/officeDocument/2006/relationships/worksheet" Target="/xl/worksheets/sheet2.xml" Id="Ra19cf5955b234890" /><Relationship Type="http://schemas.openxmlformats.org/officeDocument/2006/relationships/worksheet" Target="/xl/worksheets/sheet3.xml" Id="R0f70a051f741402f" /><Relationship Type="http://schemas.openxmlformats.org/officeDocument/2006/relationships/worksheet" Target="/xl/worksheets/sheet4.xml" Id="Ra29a2cf489344a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b6fab7d3044f3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목표수량</c:v>
          </c:tx>
          <c:cat>
            <c:strRef>
              <c:f>'03_월간보고서'!$A$15:$A$17</c:f>
              <c:strCache>
                <c:ptCount val="0"/>
              </c:strCache>
            </c:strRef>
          </c:cat>
          <c:val>
            <c:numRef>
              <c:f>'03_월간보고서'!$B$15:$B$17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생산수량</c:v>
          </c:tx>
          <c:cat>
            <c:strRef>
              <c:f>'03_월간보고서'!$A$15:$A$17</c:f>
              <c:strCache>
                <c:ptCount val="0"/>
              </c:strCache>
            </c:strRef>
          </c:cat>
          <c:val>
            <c:numRef>
              <c:f>'03_월간보고서'!$C$15:$C$17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b6fab7d3044f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ionPractice" displayName="ProductionPractice" ref="A5:O65" headerRowCount="1" totalsRowCount="0" totalsRowShown="0">
  <x:tableColumns count="15">
    <x:tableColumn id="1" name="작업일자"/>
    <x:tableColumn id="2" name="생산라인"/>
    <x:tableColumn id="3" name="제품코드"/>
    <x:tableColumn id="4" name="제품명"/>
    <x:tableColumn id="5" name="근무조"/>
    <x:tableColumn id="6" name="목표수량"/>
    <x:tableColumn id="7" name="생산수량"/>
    <x:tableColumn id="8" name="불량수량"/>
    <x:tableColumn id="9" name="양품수량"/>
    <x:tableColumn id="10" name="달성률"/>
    <x:tableColumn id="11" name="불량률"/>
    <x:tableColumn id="12" name="목표차이"/>
    <x:tableColumn id="13" name="생산판정"/>
    <x:tableColumn id="14" name="품질판정"/>
    <x:tableColumn id="15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Answer" displayName="ProductionAnswer" ref="A5:O65" headerRowCount="1" totalsRowCount="0" totalsRowShown="0">
  <x:tableColumns count="15">
    <x:tableColumn id="1" name="작업일자"/>
    <x:tableColumn id="2" name="생산라인"/>
    <x:tableColumn id="3" name="제품코드"/>
    <x:tableColumn id="4" name="제품명"/>
    <x:tableColumn id="5" name="근무조"/>
    <x:tableColumn id="6" name="목표수량"/>
    <x:tableColumn id="7" name="생산수량"/>
    <x:tableColumn id="8" name="불량수량"/>
    <x:tableColumn id="9" name="양품수량"/>
    <x:tableColumn id="10" name="달성률"/>
    <x:tableColumn id="11" name="불량률"/>
    <x:tableColumn id="12" name="목표차이"/>
    <x:tableColumn id="13" name="생산판정"/>
    <x:tableColumn id="14" name="품질판정"/>
    <x:tableColumn id="15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3c9919cfec48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550c30b3df41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955dc575231471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</x:cols>
  <x:sheetData>
    <x:row r="1" ht="24" customHeight="1">
      <x:c r="A1" s="3" t="str">
        <x:v>제조업 생산실적 관리대장 | 실습용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2026년 9월 · 생산라인 3개 · 실습용 가상자료 60건 | I~N열을 계산하는 실습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 ht="28" customHeight="1">
      <x:c r="A5" s="12" t="str">
        <x:v>작업일자</x:v>
      </x:c>
      <x:c r="B5" s="12" t="str">
        <x:v>생산라인</x:v>
      </x:c>
      <x:c r="C5" s="12" t="str">
        <x:v>제품코드</x:v>
      </x:c>
      <x:c r="D5" s="12" t="str">
        <x:v>제품명</x:v>
      </x:c>
      <x:c r="E5" s="12" t="str">
        <x:v>근무조</x:v>
      </x:c>
      <x:c r="F5" s="12" t="str">
        <x:v>목표수량</x:v>
      </x:c>
      <x:c r="G5" s="12" t="str">
        <x:v>생산수량</x:v>
      </x:c>
      <x:c r="H5" s="12" t="str">
        <x:v>불량수량</x:v>
      </x:c>
      <x:c r="I5" s="12" t="str">
        <x:v>양품수량</x:v>
      </x:c>
      <x:c r="J5" s="12" t="str">
        <x:v>달성률</x:v>
      </x:c>
      <x:c r="K5" s="12" t="str">
        <x:v>불량률</x:v>
      </x:c>
      <x:c r="L5" s="12" t="str">
        <x:v>목표차이</x:v>
      </x:c>
      <x:c r="M5" s="12" t="str">
        <x:v>생산판정</x:v>
      </x:c>
      <x:c r="N5" s="12" t="str">
        <x:v>품질판정</x:v>
      </x:c>
      <x:c r="O5" s="12" t="str">
        <x:v>비고</x:v>
      </x:c>
    </x:row>
    <x:row r="6" ht="21" customHeight="1">
      <x:c r="A6" s="18" t="n">
        <x:v>46266</x:v>
      </x:c>
      <x:c r="B6" t="str">
        <x:v>A라인</x:v>
      </x:c>
      <x:c r="C6" t="str">
        <x:v>PR-102</x:v>
      </x:c>
      <x:c r="D6" t="str">
        <x:v>플라스틱 용기 1L</x:v>
      </x:c>
      <x:c r="E6" t="str">
        <x:v>주간</x:v>
      </x:c>
      <x:c r="F6" s="22" t="n">
        <x:v>520</x:v>
      </x:c>
      <x:c r="G6" s="22" t="n">
        <x:v>460</x:v>
      </x:c>
      <x:c r="H6" s="22" t="n">
        <x:v>9</x:v>
      </x:c>
      <x:c r="I6" s="23"/>
      <x:c r="J6" s="20"/>
      <x:c r="K6" s="20"/>
      <x:c r="L6" s="26"/>
      <x:c r="M6" s="16"/>
      <x:c r="N6" s="16"/>
      <x:c r="O6" t="str"/>
    </x:row>
    <x:row r="7" ht="21" customHeight="1">
      <x:c r="A7" s="18" t="n">
        <x:v>46266</x:v>
      </x:c>
      <x:c r="B7" t="str">
        <x:v>B라인</x:v>
      </x:c>
      <x:c r="C7" t="str">
        <x:v>PR-201</x:v>
      </x:c>
      <x:c r="D7" t="str">
        <x:v>캡 부품 A형</x:v>
      </x:c>
      <x:c r="E7" t="str">
        <x:v>주간</x:v>
      </x:c>
      <x:c r="F7" s="22" t="n">
        <x:v>480</x:v>
      </x:c>
      <x:c r="G7" s="22" t="n">
        <x:v>521</x:v>
      </x:c>
      <x:c r="H7" s="22" t="n">
        <x:v>17</x:v>
      </x:c>
      <x:c r="I7" s="23"/>
      <x:c r="J7" s="20"/>
      <x:c r="K7" s="20"/>
      <x:c r="L7" s="26"/>
      <x:c r="M7" s="16"/>
      <x:c r="N7" s="16"/>
      <x:c r="O7" t="str"/>
    </x:row>
    <x:row r="8" ht="21" customHeight="1">
      <x:c r="A8" s="18" t="n">
        <x:v>46266</x:v>
      </x:c>
      <x:c r="B8" t="str">
        <x:v>C라인</x:v>
      </x:c>
      <x:c r="C8" t="str">
        <x:v>PR-202</x:v>
      </x:c>
      <x:c r="D8" t="str">
        <x:v>캡 부품 B형</x:v>
      </x:c>
      <x:c r="E8" t="str">
        <x:v>주간</x:v>
      </x:c>
      <x:c r="F8" s="22" t="n">
        <x:v>450</x:v>
      </x:c>
      <x:c r="G8" s="22" t="n">
        <x:v>386</x:v>
      </x:c>
      <x:c r="H8" s="22" t="n">
        <x:v>16</x:v>
      </x:c>
      <x:c r="I8" s="23"/>
      <x:c r="J8" s="20"/>
      <x:c r="K8" s="20"/>
      <x:c r="L8" s="26"/>
      <x:c r="M8" s="16"/>
      <x:c r="N8" s="16"/>
      <x:c r="O8" t="str"/>
    </x:row>
    <x:row r="9" ht="21" customHeight="1">
      <x:c r="A9" s="18" t="n">
        <x:v>46267</x:v>
      </x:c>
      <x:c r="B9" t="str">
        <x:v>A라인</x:v>
      </x:c>
      <x:c r="C9" t="str">
        <x:v>PR-201</x:v>
      </x:c>
      <x:c r="D9" t="str">
        <x:v>캡 부품 A형</x:v>
      </x:c>
      <x:c r="E9" t="str">
        <x:v>야간</x:v>
      </x:c>
      <x:c r="F9" s="22" t="n">
        <x:v>520</x:v>
      </x:c>
      <x:c r="G9" s="22" t="n">
        <x:v>583</x:v>
      </x:c>
      <x:c r="H9" s="22" t="n">
        <x:v>18</x:v>
      </x:c>
      <x:c r="I9" s="23"/>
      <x:c r="J9" s="20"/>
      <x:c r="K9" s="20"/>
      <x:c r="L9" s="26"/>
      <x:c r="M9" s="16"/>
      <x:c r="N9" s="16"/>
      <x:c r="O9" t="str"/>
    </x:row>
    <x:row r="10" ht="21" customHeight="1">
      <x:c r="A10" s="18" t="n">
        <x:v>46267</x:v>
      </x:c>
      <x:c r="B10" t="str">
        <x:v>B라인</x:v>
      </x:c>
      <x:c r="C10" t="str">
        <x:v>PR-202</x:v>
      </x:c>
      <x:c r="D10" t="str">
        <x:v>캡 부품 B형</x:v>
      </x:c>
      <x:c r="E10" t="str">
        <x:v>야간</x:v>
      </x:c>
      <x:c r="F10" s="22" t="n">
        <x:v>480</x:v>
      </x:c>
      <x:c r="G10" s="22" t="n">
        <x:v>497</x:v>
      </x:c>
      <x:c r="H10" s="22" t="n">
        <x:v>19</x:v>
      </x:c>
      <x:c r="I10" s="23"/>
      <x:c r="J10" s="20"/>
      <x:c r="K10" s="20"/>
      <x:c r="L10" s="26"/>
      <x:c r="M10" s="16"/>
      <x:c r="N10" s="16"/>
      <x:c r="O10" t="str"/>
    </x:row>
    <x:row r="11" ht="21" customHeight="1">
      <x:c r="A11" s="18" t="n">
        <x:v>46267</x:v>
      </x:c>
      <x:c r="B11" t="str">
        <x:v>C라인</x:v>
      </x:c>
      <x:c r="C11" t="str">
        <x:v>PR-101</x:v>
      </x:c>
      <x:c r="D11" t="str">
        <x:v>플라스틱 용기 500ml</x:v>
      </x:c>
      <x:c r="E11" t="str">
        <x:v>야간</x:v>
      </x:c>
      <x:c r="F11" s="22" t="n">
        <x:v>450</x:v>
      </x:c>
      <x:c r="G11" s="22" t="n">
        <x:v>500</x:v>
      </x:c>
      <x:c r="H11" s="22" t="n">
        <x:v>20</x:v>
      </x:c>
      <x:c r="I11" s="23"/>
      <x:c r="J11" s="20"/>
      <x:c r="K11" s="20"/>
      <x:c r="L11" s="26"/>
      <x:c r="M11" s="16"/>
      <x:c r="N11" s="16"/>
      <x:c r="O11" t="str"/>
    </x:row>
    <x:row r="12" ht="21" customHeight="1">
      <x:c r="A12" s="18" t="n">
        <x:v>46268</x:v>
      </x:c>
      <x:c r="B12" t="str">
        <x:v>A라인</x:v>
      </x:c>
      <x:c r="C12" t="str">
        <x:v>PR-202</x:v>
      </x:c>
      <x:c r="D12" t="str">
        <x:v>캡 부품 B형</x:v>
      </x:c>
      <x:c r="E12" t="str">
        <x:v>주간</x:v>
      </x:c>
      <x:c r="F12" s="22" t="n">
        <x:v>520</x:v>
      </x:c>
      <x:c r="G12" s="22" t="n">
        <x:v>555</x:v>
      </x:c>
      <x:c r="H12" s="22" t="n">
        <x:v>20</x:v>
      </x:c>
      <x:c r="I12" s="23"/>
      <x:c r="J12" s="20"/>
      <x:c r="K12" s="20"/>
      <x:c r="L12" s="26"/>
      <x:c r="M12" s="16"/>
      <x:c r="N12" s="16"/>
      <x:c r="O12" t="str"/>
    </x:row>
    <x:row r="13" ht="21" customHeight="1">
      <x:c r="A13" s="18" t="n">
        <x:v>46268</x:v>
      </x:c>
      <x:c r="B13" t="str">
        <x:v>B라인</x:v>
      </x:c>
      <x:c r="C13" t="str">
        <x:v>PR-101</x:v>
      </x:c>
      <x:c r="D13" t="str">
        <x:v>플라스틱 용기 500ml</x:v>
      </x:c>
      <x:c r="E13" t="str">
        <x:v>주간</x:v>
      </x:c>
      <x:c r="F13" s="22" t="n">
        <x:v>480</x:v>
      </x:c>
      <x:c r="G13" s="22" t="n">
        <x:v>540</x:v>
      </x:c>
      <x:c r="H13" s="22" t="n">
        <x:v>13</x:v>
      </x:c>
      <x:c r="I13" s="23"/>
      <x:c r="J13" s="20"/>
      <x:c r="K13" s="20"/>
      <x:c r="L13" s="26"/>
      <x:c r="M13" s="16"/>
      <x:c r="N13" s="16"/>
      <x:c r="O13" t="str"/>
    </x:row>
    <x:row r="14" ht="21" customHeight="1">
      <x:c r="A14" s="18" t="n">
        <x:v>46268</x:v>
      </x:c>
      <x:c r="B14" t="str">
        <x:v>C라인</x:v>
      </x:c>
      <x:c r="C14" t="str">
        <x:v>PR-102</x:v>
      </x:c>
      <x:c r="D14" t="str">
        <x:v>플라스틱 용기 1L</x:v>
      </x:c>
      <x:c r="E14" t="str">
        <x:v>주간</x:v>
      </x:c>
      <x:c r="F14" s="22" t="n">
        <x:v>450</x:v>
      </x:c>
      <x:c r="G14" s="22" t="n">
        <x:v>360</x:v>
      </x:c>
      <x:c r="H14" s="22" t="n">
        <x:v>11</x:v>
      </x:c>
      <x:c r="I14" s="23"/>
      <x:c r="J14" s="20"/>
      <x:c r="K14" s="20"/>
      <x:c r="L14" s="26"/>
      <x:c r="M14" s="16"/>
      <x:c r="N14" s="16"/>
      <x:c r="O14" t="str"/>
    </x:row>
    <x:row r="15" ht="21" customHeight="1">
      <x:c r="A15" s="18" t="n">
        <x:v>46269</x:v>
      </x:c>
      <x:c r="B15" t="str">
        <x:v>A라인</x:v>
      </x:c>
      <x:c r="C15" t="str">
        <x:v>PR-101</x:v>
      </x:c>
      <x:c r="D15" t="str">
        <x:v>플라스틱 용기 500ml</x:v>
      </x:c>
      <x:c r="E15" t="str">
        <x:v>야간</x:v>
      </x:c>
      <x:c r="F15" s="22" t="n">
        <x:v>520</x:v>
      </x:c>
      <x:c r="G15" s="22" t="n">
        <x:v>458</x:v>
      </x:c>
      <x:c r="H15" s="22" t="n">
        <x:v>9</x:v>
      </x:c>
      <x:c r="I15" s="23"/>
      <x:c r="J15" s="20"/>
      <x:c r="K15" s="20"/>
      <x:c r="L15" s="26"/>
      <x:c r="M15" s="16"/>
      <x:c r="N15" s="16"/>
      <x:c r="O15" t="str"/>
    </x:row>
    <x:row r="16" ht="21" customHeight="1">
      <x:c r="A16" s="18" t="n">
        <x:v>46269</x:v>
      </x:c>
      <x:c r="B16" t="str">
        <x:v>B라인</x:v>
      </x:c>
      <x:c r="C16" t="str">
        <x:v>PR-102</x:v>
      </x:c>
      <x:c r="D16" t="str">
        <x:v>플라스틱 용기 1L</x:v>
      </x:c>
      <x:c r="E16" t="str">
        <x:v>야간</x:v>
      </x:c>
      <x:c r="F16" s="22" t="n">
        <x:v>480</x:v>
      </x:c>
      <x:c r="G16" s="22" t="n">
        <x:v>415</x:v>
      </x:c>
      <x:c r="H16" s="22" t="n">
        <x:v>10</x:v>
      </x:c>
      <x:c r="I16" s="23"/>
      <x:c r="J16" s="20"/>
      <x:c r="K16" s="20"/>
      <x:c r="L16" s="26"/>
      <x:c r="M16" s="16"/>
      <x:c r="N16" s="16"/>
      <x:c r="O16" t="str"/>
    </x:row>
    <x:row r="17" ht="21" customHeight="1">
      <x:c r="A17" s="18" t="n">
        <x:v>46269</x:v>
      </x:c>
      <x:c r="B17" t="str">
        <x:v>C라인</x:v>
      </x:c>
      <x:c r="C17" t="str">
        <x:v>PR-201</x:v>
      </x:c>
      <x:c r="D17" t="str">
        <x:v>캡 부품 A형</x:v>
      </x:c>
      <x:c r="E17" t="str">
        <x:v>야간</x:v>
      </x:c>
      <x:c r="F17" s="22" t="n">
        <x:v>450</x:v>
      </x:c>
      <x:c r="G17" s="22" t="n">
        <x:v>485</x:v>
      </x:c>
      <x:c r="H17" s="22" t="n">
        <x:v>16</x:v>
      </x:c>
      <x:c r="I17" s="23"/>
      <x:c r="J17" s="20"/>
      <x:c r="K17" s="20"/>
      <x:c r="L17" s="26"/>
      <x:c r="M17" s="16"/>
      <x:c r="N17" s="16"/>
      <x:c r="O17" t="str"/>
    </x:row>
    <x:row r="18" ht="21" customHeight="1">
      <x:c r="A18" s="18" t="n">
        <x:v>46270</x:v>
      </x:c>
      <x:c r="B18" t="str">
        <x:v>A라인</x:v>
      </x:c>
      <x:c r="C18" t="str">
        <x:v>PR-102</x:v>
      </x:c>
      <x:c r="D18" t="str">
        <x:v>플라스틱 용기 1L</x:v>
      </x:c>
      <x:c r="E18" t="str">
        <x:v>주간</x:v>
      </x:c>
      <x:c r="F18" s="22" t="n">
        <x:v>520</x:v>
      </x:c>
      <x:c r="G18" s="22" t="n">
        <x:v>483</x:v>
      </x:c>
      <x:c r="H18" s="22" t="n">
        <x:v>11</x:v>
      </x:c>
      <x:c r="I18" s="23"/>
      <x:c r="J18" s="20"/>
      <x:c r="K18" s="20"/>
      <x:c r="L18" s="26"/>
      <x:c r="M18" s="16"/>
      <x:c r="N18" s="16"/>
      <x:c r="O18" t="str"/>
    </x:row>
    <x:row r="19" ht="21" customHeight="1">
      <x:c r="A19" s="18" t="n">
        <x:v>46270</x:v>
      </x:c>
      <x:c r="B19" t="str">
        <x:v>B라인</x:v>
      </x:c>
      <x:c r="C19" t="str">
        <x:v>PR-201</x:v>
      </x:c>
      <x:c r="D19" t="str">
        <x:v>캡 부품 A형</x:v>
      </x:c>
      <x:c r="E19" t="str">
        <x:v>주간</x:v>
      </x:c>
      <x:c r="F19" s="22" t="n">
        <x:v>480</x:v>
      </x:c>
      <x:c r="G19" s="22" t="n">
        <x:v>479</x:v>
      </x:c>
      <x:c r="H19" s="22" t="n">
        <x:v>22</x:v>
      </x:c>
      <x:c r="I19" s="23"/>
      <x:c r="J19" s="20"/>
      <x:c r="K19" s="20"/>
      <x:c r="L19" s="26"/>
      <x:c r="M19" s="16"/>
      <x:c r="N19" s="16"/>
      <x:c r="O19" t="str"/>
    </x:row>
    <x:row r="20" ht="21" customHeight="1">
      <x:c r="A20" s="18" t="n">
        <x:v>46270</x:v>
      </x:c>
      <x:c r="B20" t="str">
        <x:v>C라인</x:v>
      </x:c>
      <x:c r="C20" t="str">
        <x:v>PR-202</x:v>
      </x:c>
      <x:c r="D20" t="str">
        <x:v>캡 부품 B형</x:v>
      </x:c>
      <x:c r="E20" t="str">
        <x:v>주간</x:v>
      </x:c>
      <x:c r="F20" s="22" t="n">
        <x:v>450</x:v>
      </x:c>
      <x:c r="G20" s="22" t="n">
        <x:v>451</x:v>
      </x:c>
      <x:c r="H20" s="22" t="n">
        <x:v>17</x:v>
      </x:c>
      <x:c r="I20" s="23"/>
      <x:c r="J20" s="20"/>
      <x:c r="K20" s="20"/>
      <x:c r="L20" s="26"/>
      <x:c r="M20" s="16"/>
      <x:c r="N20" s="16"/>
      <x:c r="O20" t="str"/>
    </x:row>
    <x:row r="21" ht="21" customHeight="1">
      <x:c r="A21" s="18" t="n">
        <x:v>46271</x:v>
      </x:c>
      <x:c r="B21" t="str">
        <x:v>A라인</x:v>
      </x:c>
      <x:c r="C21" t="str">
        <x:v>PR-201</x:v>
      </x:c>
      <x:c r="D21" t="str">
        <x:v>캡 부품 A형</x:v>
      </x:c>
      <x:c r="E21" t="str">
        <x:v>야간</x:v>
      </x:c>
      <x:c r="F21" s="22" t="n">
        <x:v>520</x:v>
      </x:c>
      <x:c r="G21" s="22" t="n">
        <x:v>561</x:v>
      </x:c>
      <x:c r="H21" s="22" t="n">
        <x:v>18</x:v>
      </x:c>
      <x:c r="I21" s="23"/>
      <x:c r="J21" s="20"/>
      <x:c r="K21" s="20"/>
      <x:c r="L21" s="26"/>
      <x:c r="M21" s="16"/>
      <x:c r="N21" s="16"/>
      <x:c r="O21" t="str"/>
    </x:row>
    <x:row r="22" ht="21" customHeight="1">
      <x:c r="A22" s="18" t="n">
        <x:v>46271</x:v>
      </x:c>
      <x:c r="B22" t="str">
        <x:v>B라인</x:v>
      </x:c>
      <x:c r="C22" t="str">
        <x:v>PR-202</x:v>
      </x:c>
      <x:c r="D22" t="str">
        <x:v>캡 부품 B형</x:v>
      </x:c>
      <x:c r="E22" t="str">
        <x:v>야간</x:v>
      </x:c>
      <x:c r="F22" s="22" t="n">
        <x:v>480</x:v>
      </x:c>
      <x:c r="G22" s="22" t="n">
        <x:v>477</x:v>
      </x:c>
      <x:c r="H22" s="22" t="n">
        <x:v>32</x:v>
      </x:c>
      <x:c r="I22" s="23"/>
      <x:c r="J22" s="20"/>
      <x:c r="K22" s="20"/>
      <x:c r="L22" s="26"/>
      <x:c r="M22" s="16"/>
      <x:c r="N22" s="16"/>
      <x:c r="O22" t="str"/>
    </x:row>
    <x:row r="23" ht="21" customHeight="1">
      <x:c r="A23" s="18" t="n">
        <x:v>46271</x:v>
      </x:c>
      <x:c r="B23" t="str">
        <x:v>C라인</x:v>
      </x:c>
      <x:c r="C23" t="str">
        <x:v>PR-101</x:v>
      </x:c>
      <x:c r="D23" t="str">
        <x:v>플라스틱 용기 500ml</x:v>
      </x:c>
      <x:c r="E23" t="str">
        <x:v>야간</x:v>
      </x:c>
      <x:c r="F23" s="22" t="n">
        <x:v>450</x:v>
      </x:c>
      <x:c r="G23" s="22" t="n">
        <x:v>497</x:v>
      </x:c>
      <x:c r="H23" s="22" t="n">
        <x:v>9</x:v>
      </x:c>
      <x:c r="I23" s="23"/>
      <x:c r="J23" s="20"/>
      <x:c r="K23" s="20"/>
      <x:c r="L23" s="26"/>
      <x:c r="M23" s="16"/>
      <x:c r="N23" s="16"/>
      <x:c r="O23" t="str"/>
    </x:row>
    <x:row r="24" ht="21" customHeight="1">
      <x:c r="A24" s="18" t="n">
        <x:v>46272</x:v>
      </x:c>
      <x:c r="B24" t="str">
        <x:v>A라인</x:v>
      </x:c>
      <x:c r="C24" t="str">
        <x:v>PR-202</x:v>
      </x:c>
      <x:c r="D24" t="str">
        <x:v>캡 부품 B형</x:v>
      </x:c>
      <x:c r="E24" t="str">
        <x:v>주간</x:v>
      </x:c>
      <x:c r="F24" s="22" t="n">
        <x:v>520</x:v>
      </x:c>
      <x:c r="G24" s="22" t="n">
        <x:v>547</x:v>
      </x:c>
      <x:c r="H24" s="22" t="n">
        <x:v>7</x:v>
      </x:c>
      <x:c r="I24" s="23"/>
      <x:c r="J24" s="20"/>
      <x:c r="K24" s="20"/>
      <x:c r="L24" s="26"/>
      <x:c r="M24" s="16"/>
      <x:c r="N24" s="16"/>
      <x:c r="O24" t="str"/>
    </x:row>
    <x:row r="25" ht="21" customHeight="1">
      <x:c r="A25" s="18" t="n">
        <x:v>46272</x:v>
      </x:c>
      <x:c r="B25" t="str">
        <x:v>B라인</x:v>
      </x:c>
      <x:c r="C25" t="str">
        <x:v>PR-101</x:v>
      </x:c>
      <x:c r="D25" t="str">
        <x:v>플라스틱 용기 500ml</x:v>
      </x:c>
      <x:c r="E25" t="str">
        <x:v>주간</x:v>
      </x:c>
      <x:c r="F25" s="22" t="n">
        <x:v>480</x:v>
      </x:c>
      <x:c r="G25" s="22" t="n">
        <x:v>555</x:v>
      </x:c>
      <x:c r="H25" s="22" t="n">
        <x:v>19</x:v>
      </x:c>
      <x:c r="I25" s="23"/>
      <x:c r="J25" s="20"/>
      <x:c r="K25" s="20"/>
      <x:c r="L25" s="26"/>
      <x:c r="M25" s="16"/>
      <x:c r="N25" s="16"/>
      <x:c r="O25" t="str"/>
    </x:row>
    <x:row r="26" ht="21" customHeight="1">
      <x:c r="A26" s="18" t="n">
        <x:v>46272</x:v>
      </x:c>
      <x:c r="B26" t="str">
        <x:v>C라인</x:v>
      </x:c>
      <x:c r="C26" t="str">
        <x:v>PR-102</x:v>
      </x:c>
      <x:c r="D26" t="str">
        <x:v>플라스틱 용기 1L</x:v>
      </x:c>
      <x:c r="E26" t="str">
        <x:v>주간</x:v>
      </x:c>
      <x:c r="F26" s="22" t="n">
        <x:v>450</x:v>
      </x:c>
      <x:c r="G26" s="22" t="n">
        <x:v>507</x:v>
      </x:c>
      <x:c r="H26" s="22" t="n">
        <x:v>10</x:v>
      </x:c>
      <x:c r="I26" s="23"/>
      <x:c r="J26" s="20"/>
      <x:c r="K26" s="20"/>
      <x:c r="L26" s="26"/>
      <x:c r="M26" s="16"/>
      <x:c r="N26" s="16"/>
      <x:c r="O26" t="str"/>
    </x:row>
    <x:row r="27" ht="21" customHeight="1">
      <x:c r="A27" s="18" t="n">
        <x:v>46273</x:v>
      </x:c>
      <x:c r="B27" t="str">
        <x:v>A라인</x:v>
      </x:c>
      <x:c r="C27" t="str">
        <x:v>PR-101</x:v>
      </x:c>
      <x:c r="D27" t="str">
        <x:v>플라스틱 용기 500ml</x:v>
      </x:c>
      <x:c r="E27" t="str">
        <x:v>야간</x:v>
      </x:c>
      <x:c r="F27" s="22" t="n">
        <x:v>520</x:v>
      </x:c>
      <x:c r="G27" s="22" t="n">
        <x:v>524</x:v>
      </x:c>
      <x:c r="H27" s="22" t="n">
        <x:v>11</x:v>
      </x:c>
      <x:c r="I27" s="23"/>
      <x:c r="J27" s="20"/>
      <x:c r="K27" s="20"/>
      <x:c r="L27" s="26"/>
      <x:c r="M27" s="16"/>
      <x:c r="N27" s="16"/>
      <x:c r="O27" t="str"/>
    </x:row>
    <x:row r="28" ht="21" customHeight="1">
      <x:c r="A28" s="18" t="n">
        <x:v>46273</x:v>
      </x:c>
      <x:c r="B28" t="str">
        <x:v>B라인</x:v>
      </x:c>
      <x:c r="C28" t="str">
        <x:v>PR-102</x:v>
      </x:c>
      <x:c r="D28" t="str">
        <x:v>플라스틱 용기 1L</x:v>
      </x:c>
      <x:c r="E28" t="str">
        <x:v>야간</x:v>
      </x:c>
      <x:c r="F28" s="22" t="n">
        <x:v>480</x:v>
      </x:c>
      <x:c r="G28" s="22" t="n">
        <x:v>498</x:v>
      </x:c>
      <x:c r="H28" s="22" t="n">
        <x:v>6</x:v>
      </x:c>
      <x:c r="I28" s="23"/>
      <x:c r="J28" s="20"/>
      <x:c r="K28" s="20"/>
      <x:c r="L28" s="26"/>
      <x:c r="M28" s="16"/>
      <x:c r="N28" s="16"/>
      <x:c r="O28" t="str"/>
    </x:row>
    <x:row r="29" ht="21" customHeight="1">
      <x:c r="A29" s="18" t="n">
        <x:v>46273</x:v>
      </x:c>
      <x:c r="B29" t="str">
        <x:v>C라인</x:v>
      </x:c>
      <x:c r="C29" t="str">
        <x:v>PR-201</x:v>
      </x:c>
      <x:c r="D29" t="str">
        <x:v>캡 부품 A형</x:v>
      </x:c>
      <x:c r="E29" t="str">
        <x:v>야간</x:v>
      </x:c>
      <x:c r="F29" s="22" t="n">
        <x:v>450</x:v>
      </x:c>
      <x:c r="G29" s="22" t="n">
        <x:v>509</x:v>
      </x:c>
      <x:c r="H29" s="22" t="n">
        <x:v>15</x:v>
      </x:c>
      <x:c r="I29" s="23"/>
      <x:c r="J29" s="20"/>
      <x:c r="K29" s="20"/>
      <x:c r="L29" s="26"/>
      <x:c r="M29" s="16"/>
      <x:c r="N29" s="16"/>
      <x:c r="O29" t="str"/>
    </x:row>
    <x:row r="30" ht="21" customHeight="1">
      <x:c r="A30" s="18" t="n">
        <x:v>46274</x:v>
      </x:c>
      <x:c r="B30" t="str">
        <x:v>A라인</x:v>
      </x:c>
      <x:c r="C30" t="str">
        <x:v>PR-102</x:v>
      </x:c>
      <x:c r="D30" t="str">
        <x:v>플라스틱 용기 1L</x:v>
      </x:c>
      <x:c r="E30" t="str">
        <x:v>주간</x:v>
      </x:c>
      <x:c r="F30" s="22" t="n">
        <x:v>520</x:v>
      </x:c>
      <x:c r="G30" s="22" t="n">
        <x:v>459</x:v>
      </x:c>
      <x:c r="H30" s="22" t="n">
        <x:v>11</x:v>
      </x:c>
      <x:c r="I30" s="23"/>
      <x:c r="J30" s="20"/>
      <x:c r="K30" s="20"/>
      <x:c r="L30" s="26"/>
      <x:c r="M30" s="16"/>
      <x:c r="N30" s="16"/>
      <x:c r="O30" t="str"/>
    </x:row>
    <x:row r="31" ht="21" customHeight="1">
      <x:c r="A31" s="18" t="n">
        <x:v>46274</x:v>
      </x:c>
      <x:c r="B31" t="str">
        <x:v>B라인</x:v>
      </x:c>
      <x:c r="C31" t="str">
        <x:v>PR-201</x:v>
      </x:c>
      <x:c r="D31" t="str">
        <x:v>캡 부품 A형</x:v>
      </x:c>
      <x:c r="E31" t="str">
        <x:v>주간</x:v>
      </x:c>
      <x:c r="F31" s="22" t="n">
        <x:v>480</x:v>
      </x:c>
      <x:c r="G31" s="22" t="n">
        <x:v>543</x:v>
      </x:c>
      <x:c r="H31" s="22" t="n">
        <x:v>22</x:v>
      </x:c>
      <x:c r="I31" s="23"/>
      <x:c r="J31" s="20"/>
      <x:c r="K31" s="20"/>
      <x:c r="L31" s="26"/>
      <x:c r="M31" s="16"/>
      <x:c r="N31" s="16"/>
      <x:c r="O31" t="str"/>
    </x:row>
    <x:row r="32" ht="21" customHeight="1">
      <x:c r="A32" s="18" t="n">
        <x:v>46274</x:v>
      </x:c>
      <x:c r="B32" t="str">
        <x:v>C라인</x:v>
      </x:c>
      <x:c r="C32" t="str">
        <x:v>PR-202</x:v>
      </x:c>
      <x:c r="D32" t="str">
        <x:v>캡 부품 B형</x:v>
      </x:c>
      <x:c r="E32" t="str">
        <x:v>주간</x:v>
      </x:c>
      <x:c r="F32" s="22" t="n">
        <x:v>450</x:v>
      </x:c>
      <x:c r="G32" s="22" t="n">
        <x:v>461</x:v>
      </x:c>
      <x:c r="H32" s="22" t="n">
        <x:v>20</x:v>
      </x:c>
      <x:c r="I32" s="23"/>
      <x:c r="J32" s="20"/>
      <x:c r="K32" s="20"/>
      <x:c r="L32" s="26"/>
      <x:c r="M32" s="16"/>
      <x:c r="N32" s="16"/>
      <x:c r="O32" t="str"/>
    </x:row>
    <x:row r="33" ht="21" customHeight="1">
      <x:c r="A33" s="18" t="n">
        <x:v>46275</x:v>
      </x:c>
      <x:c r="B33" t="str">
        <x:v>A라인</x:v>
      </x:c>
      <x:c r="C33" t="str">
        <x:v>PR-201</x:v>
      </x:c>
      <x:c r="D33" t="str">
        <x:v>캡 부품 A형</x:v>
      </x:c>
      <x:c r="E33" t="str">
        <x:v>야간</x:v>
      </x:c>
      <x:c r="F33" s="22" t="n">
        <x:v>520</x:v>
      </x:c>
      <x:c r="G33" s="22" t="n">
        <x:v>496</x:v>
      </x:c>
      <x:c r="H33" s="22" t="n">
        <x:v>20</x:v>
      </x:c>
      <x:c r="I33" s="23"/>
      <x:c r="J33" s="20"/>
      <x:c r="K33" s="20"/>
      <x:c r="L33" s="26"/>
      <x:c r="M33" s="16"/>
      <x:c r="N33" s="16"/>
      <x:c r="O33" t="str"/>
    </x:row>
    <x:row r="34" ht="21" customHeight="1">
      <x:c r="A34" s="18" t="n">
        <x:v>46275</x:v>
      </x:c>
      <x:c r="B34" t="str">
        <x:v>B라인</x:v>
      </x:c>
      <x:c r="C34" t="str">
        <x:v>PR-202</x:v>
      </x:c>
      <x:c r="D34" t="str">
        <x:v>캡 부품 B형</x:v>
      </x:c>
      <x:c r="E34" t="str">
        <x:v>야간</x:v>
      </x:c>
      <x:c r="F34" s="22" t="n">
        <x:v>480</x:v>
      </x:c>
      <x:c r="G34" s="22" t="n">
        <x:v>534</x:v>
      </x:c>
      <x:c r="H34" s="22" t="n">
        <x:v>23</x:v>
      </x:c>
      <x:c r="I34" s="23"/>
      <x:c r="J34" s="20"/>
      <x:c r="K34" s="20"/>
      <x:c r="L34" s="26"/>
      <x:c r="M34" s="16"/>
      <x:c r="N34" s="16"/>
      <x:c r="O34" t="str"/>
    </x:row>
    <x:row r="35" ht="21" customHeight="1">
      <x:c r="A35" s="18" t="n">
        <x:v>46275</x:v>
      </x:c>
      <x:c r="B35" t="str">
        <x:v>C라인</x:v>
      </x:c>
      <x:c r="C35" t="str">
        <x:v>PR-101</x:v>
      </x:c>
      <x:c r="D35" t="str">
        <x:v>플라스틱 용기 500ml</x:v>
      </x:c>
      <x:c r="E35" t="str">
        <x:v>야간</x:v>
      </x:c>
      <x:c r="F35" s="22" t="n">
        <x:v>450</x:v>
      </x:c>
      <x:c r="G35" s="22" t="n">
        <x:v>482</x:v>
      </x:c>
      <x:c r="H35" s="22" t="n">
        <x:v>13</x:v>
      </x:c>
      <x:c r="I35" s="23"/>
      <x:c r="J35" s="20"/>
      <x:c r="K35" s="20"/>
      <x:c r="L35" s="26"/>
      <x:c r="M35" s="16"/>
      <x:c r="N35" s="16"/>
      <x:c r="O35" t="str"/>
    </x:row>
    <x:row r="36" ht="21" customHeight="1">
      <x:c r="A36" s="18" t="n">
        <x:v>46276</x:v>
      </x:c>
      <x:c r="B36" t="str">
        <x:v>A라인</x:v>
      </x:c>
      <x:c r="C36" t="str">
        <x:v>PR-202</x:v>
      </x:c>
      <x:c r="D36" t="str">
        <x:v>캡 부품 B형</x:v>
      </x:c>
      <x:c r="E36" t="str">
        <x:v>주간</x:v>
      </x:c>
      <x:c r="F36" s="22" t="n">
        <x:v>520</x:v>
      </x:c>
      <x:c r="G36" s="22" t="n">
        <x:v>436</x:v>
      </x:c>
      <x:c r="H36" s="22" t="n">
        <x:v>13</x:v>
      </x:c>
      <x:c r="I36" s="23"/>
      <x:c r="J36" s="20"/>
      <x:c r="K36" s="20"/>
      <x:c r="L36" s="26"/>
      <x:c r="M36" s="16"/>
      <x:c r="N36" s="16"/>
      <x:c r="O36" t="str"/>
    </x:row>
    <x:row r="37" ht="21" customHeight="1">
      <x:c r="A37" s="18" t="n">
        <x:v>46276</x:v>
      </x:c>
      <x:c r="B37" t="str">
        <x:v>B라인</x:v>
      </x:c>
      <x:c r="C37" t="str">
        <x:v>PR-101</x:v>
      </x:c>
      <x:c r="D37" t="str">
        <x:v>플라스틱 용기 500ml</x:v>
      </x:c>
      <x:c r="E37" t="str">
        <x:v>주간</x:v>
      </x:c>
      <x:c r="F37" s="22" t="n">
        <x:v>480</x:v>
      </x:c>
      <x:c r="G37" s="22" t="n">
        <x:v>423</x:v>
      </x:c>
      <x:c r="H37" s="22" t="n">
        <x:v>17</x:v>
      </x:c>
      <x:c r="I37" s="23"/>
      <x:c r="J37" s="20"/>
      <x:c r="K37" s="20"/>
      <x:c r="L37" s="26"/>
      <x:c r="M37" s="16"/>
      <x:c r="N37" s="16"/>
      <x:c r="O37" t="str"/>
    </x:row>
    <x:row r="38" ht="21" customHeight="1">
      <x:c r="A38" s="18" t="n">
        <x:v>46276</x:v>
      </x:c>
      <x:c r="B38" t="str">
        <x:v>C라인</x:v>
      </x:c>
      <x:c r="C38" t="str">
        <x:v>PR-102</x:v>
      </x:c>
      <x:c r="D38" t="str">
        <x:v>플라스틱 용기 1L</x:v>
      </x:c>
      <x:c r="E38" t="str">
        <x:v>주간</x:v>
      </x:c>
      <x:c r="F38" s="22" t="n">
        <x:v>450</x:v>
      </x:c>
      <x:c r="G38" s="22" t="n">
        <x:v>493</x:v>
      </x:c>
      <x:c r="H38" s="22" t="n">
        <x:v>21</x:v>
      </x:c>
      <x:c r="I38" s="23"/>
      <x:c r="J38" s="20"/>
      <x:c r="K38" s="20"/>
      <x:c r="L38" s="26"/>
      <x:c r="M38" s="16"/>
      <x:c r="N38" s="16"/>
      <x:c r="O38" t="str"/>
    </x:row>
    <x:row r="39" ht="21" customHeight="1">
      <x:c r="A39" s="18" t="n">
        <x:v>46277</x:v>
      </x:c>
      <x:c r="B39" t="str">
        <x:v>A라인</x:v>
      </x:c>
      <x:c r="C39" t="str">
        <x:v>PR-101</x:v>
      </x:c>
      <x:c r="D39" t="str">
        <x:v>플라스틱 용기 500ml</x:v>
      </x:c>
      <x:c r="E39" t="str">
        <x:v>야간</x:v>
      </x:c>
      <x:c r="F39" s="22" t="n">
        <x:v>520</x:v>
      </x:c>
      <x:c r="G39" s="22" t="n">
        <x:v>456</x:v>
      </x:c>
      <x:c r="H39" s="22" t="n">
        <x:v>16</x:v>
      </x:c>
      <x:c r="I39" s="23"/>
      <x:c r="J39" s="20"/>
      <x:c r="K39" s="20"/>
      <x:c r="L39" s="26"/>
      <x:c r="M39" s="16"/>
      <x:c r="N39" s="16"/>
      <x:c r="O39" t="str"/>
    </x:row>
    <x:row r="40" ht="21" customHeight="1">
      <x:c r="A40" s="18" t="n">
        <x:v>46277</x:v>
      </x:c>
      <x:c r="B40" t="str">
        <x:v>B라인</x:v>
      </x:c>
      <x:c r="C40" t="str">
        <x:v>PR-102</x:v>
      </x:c>
      <x:c r="D40" t="str">
        <x:v>플라스틱 용기 1L</x:v>
      </x:c>
      <x:c r="E40" t="str">
        <x:v>야간</x:v>
      </x:c>
      <x:c r="F40" s="22" t="n">
        <x:v>480</x:v>
      </x:c>
      <x:c r="G40" s="22" t="n">
        <x:v>499</x:v>
      </x:c>
      <x:c r="H40" s="22" t="n">
        <x:v>13</x:v>
      </x:c>
      <x:c r="I40" s="23"/>
      <x:c r="J40" s="20"/>
      <x:c r="K40" s="20"/>
      <x:c r="L40" s="26"/>
      <x:c r="M40" s="16"/>
      <x:c r="N40" s="16"/>
      <x:c r="O40" t="str"/>
    </x:row>
    <x:row r="41" ht="21" customHeight="1">
      <x:c r="A41" s="18" t="n">
        <x:v>46277</x:v>
      </x:c>
      <x:c r="B41" t="str">
        <x:v>C라인</x:v>
      </x:c>
      <x:c r="C41" t="str">
        <x:v>PR-201</x:v>
      </x:c>
      <x:c r="D41" t="str">
        <x:v>캡 부품 A형</x:v>
      </x:c>
      <x:c r="E41" t="str">
        <x:v>야간</x:v>
      </x:c>
      <x:c r="F41" s="22" t="n">
        <x:v>450</x:v>
      </x:c>
      <x:c r="G41" s="22" t="n">
        <x:v>483</x:v>
      </x:c>
      <x:c r="H41" s="22" t="n">
        <x:v>20</x:v>
      </x:c>
      <x:c r="I41" s="23"/>
      <x:c r="J41" s="20"/>
      <x:c r="K41" s="20"/>
      <x:c r="L41" s="26"/>
      <x:c r="M41" s="16"/>
      <x:c r="N41" s="16"/>
      <x:c r="O41" t="str"/>
    </x:row>
    <x:row r="42" ht="21" customHeight="1">
      <x:c r="A42" s="18" t="n">
        <x:v>46278</x:v>
      </x:c>
      <x:c r="B42" t="str">
        <x:v>A라인</x:v>
      </x:c>
      <x:c r="C42" t="str">
        <x:v>PR-102</x:v>
      </x:c>
      <x:c r="D42" t="str">
        <x:v>플라스틱 용기 1L</x:v>
      </x:c>
      <x:c r="E42" t="str">
        <x:v>주간</x:v>
      </x:c>
      <x:c r="F42" s="22" t="n">
        <x:v>520</x:v>
      </x:c>
      <x:c r="G42" s="22" t="n">
        <x:v>461</x:v>
      </x:c>
      <x:c r="H42" s="22" t="n">
        <x:v>15</x:v>
      </x:c>
      <x:c r="I42" s="23"/>
      <x:c r="J42" s="20"/>
      <x:c r="K42" s="20"/>
      <x:c r="L42" s="26"/>
      <x:c r="M42" s="16"/>
      <x:c r="N42" s="16"/>
      <x:c r="O42" t="str"/>
    </x:row>
    <x:row r="43" ht="21" customHeight="1">
      <x:c r="A43" s="18" t="n">
        <x:v>46278</x:v>
      </x:c>
      <x:c r="B43" t="str">
        <x:v>B라인</x:v>
      </x:c>
      <x:c r="C43" t="str">
        <x:v>PR-201</x:v>
      </x:c>
      <x:c r="D43" t="str">
        <x:v>캡 부품 A형</x:v>
      </x:c>
      <x:c r="E43" t="str">
        <x:v>주간</x:v>
      </x:c>
      <x:c r="F43" s="22" t="n">
        <x:v>480</x:v>
      </x:c>
      <x:c r="G43" s="22" t="n">
        <x:v>506</x:v>
      </x:c>
      <x:c r="H43" s="22" t="n">
        <x:v>34</x:v>
      </x:c>
      <x:c r="I43" s="23"/>
      <x:c r="J43" s="20"/>
      <x:c r="K43" s="20"/>
      <x:c r="L43" s="26"/>
      <x:c r="M43" s="16"/>
      <x:c r="N43" s="16"/>
      <x:c r="O43" t="str">
        <x:v>설비점검</x:v>
      </x:c>
    </x:row>
    <x:row r="44" ht="21" customHeight="1">
      <x:c r="A44" s="18" t="n">
        <x:v>46278</x:v>
      </x:c>
      <x:c r="B44" t="str">
        <x:v>C라인</x:v>
      </x:c>
      <x:c r="C44" t="str">
        <x:v>PR-202</x:v>
      </x:c>
      <x:c r="D44" t="str">
        <x:v>캡 부품 B형</x:v>
      </x:c>
      <x:c r="E44" t="str">
        <x:v>주간</x:v>
      </x:c>
      <x:c r="F44" s="22" t="n">
        <x:v>450</x:v>
      </x:c>
      <x:c r="G44" s="22" t="n">
        <x:v>499</x:v>
      </x:c>
      <x:c r="H44" s="22" t="n">
        <x:v>9</x:v>
      </x:c>
      <x:c r="I44" s="23"/>
      <x:c r="J44" s="20"/>
      <x:c r="K44" s="20"/>
      <x:c r="L44" s="26"/>
      <x:c r="M44" s="16"/>
      <x:c r="N44" s="16"/>
      <x:c r="O44" t="str"/>
    </x:row>
    <x:row r="45" ht="21" customHeight="1">
      <x:c r="A45" s="18" t="n">
        <x:v>46279</x:v>
      </x:c>
      <x:c r="B45" t="str">
        <x:v>A라인</x:v>
      </x:c>
      <x:c r="C45" t="str">
        <x:v>PR-201</x:v>
      </x:c>
      <x:c r="D45" t="str">
        <x:v>캡 부품 A형</x:v>
      </x:c>
      <x:c r="E45" t="str">
        <x:v>야간</x:v>
      </x:c>
      <x:c r="F45" s="22" t="n">
        <x:v>520</x:v>
      </x:c>
      <x:c r="G45" s="22" t="n">
        <x:v>532</x:v>
      </x:c>
      <x:c r="H45" s="22" t="n">
        <x:v>18</x:v>
      </x:c>
      <x:c r="I45" s="23"/>
      <x:c r="J45" s="20"/>
      <x:c r="K45" s="20"/>
      <x:c r="L45" s="26"/>
      <x:c r="M45" s="16"/>
      <x:c r="N45" s="16"/>
      <x:c r="O45" t="str"/>
    </x:row>
    <x:row r="46" ht="21" customHeight="1">
      <x:c r="A46" s="18" t="n">
        <x:v>46279</x:v>
      </x:c>
      <x:c r="B46" t="str">
        <x:v>B라인</x:v>
      </x:c>
      <x:c r="C46" t="str">
        <x:v>PR-202</x:v>
      </x:c>
      <x:c r="D46" t="str">
        <x:v>캡 부품 B형</x:v>
      </x:c>
      <x:c r="E46" t="str">
        <x:v>야간</x:v>
      </x:c>
      <x:c r="F46" s="22" t="n">
        <x:v>480</x:v>
      </x:c>
      <x:c r="G46" s="22" t="n">
        <x:v>468</x:v>
      </x:c>
      <x:c r="H46" s="22" t="n">
        <x:v>13</x:v>
      </x:c>
      <x:c r="I46" s="23"/>
      <x:c r="J46" s="20"/>
      <x:c r="K46" s="20"/>
      <x:c r="L46" s="26"/>
      <x:c r="M46" s="16"/>
      <x:c r="N46" s="16"/>
      <x:c r="O46" t="str"/>
    </x:row>
    <x:row r="47" ht="21" customHeight="1">
      <x:c r="A47" s="18" t="n">
        <x:v>46279</x:v>
      </x:c>
      <x:c r="B47" t="str">
        <x:v>C라인</x:v>
      </x:c>
      <x:c r="C47" t="str">
        <x:v>PR-101</x:v>
      </x:c>
      <x:c r="D47" t="str">
        <x:v>플라스틱 용기 500ml</x:v>
      </x:c>
      <x:c r="E47" t="str">
        <x:v>야간</x:v>
      </x:c>
      <x:c r="F47" s="22" t="n">
        <x:v>450</x:v>
      </x:c>
      <x:c r="G47" s="22" t="n">
        <x:v>525</x:v>
      </x:c>
      <x:c r="H47" s="22" t="n">
        <x:v>14</x:v>
      </x:c>
      <x:c r="I47" s="23"/>
      <x:c r="J47" s="20"/>
      <x:c r="K47" s="20"/>
      <x:c r="L47" s="26"/>
      <x:c r="M47" s="16"/>
      <x:c r="N47" s="16"/>
      <x:c r="O47" t="str"/>
    </x:row>
    <x:row r="48" ht="21" customHeight="1">
      <x:c r="A48" s="18" t="n">
        <x:v>46280</x:v>
      </x:c>
      <x:c r="B48" t="str">
        <x:v>A라인</x:v>
      </x:c>
      <x:c r="C48" t="str">
        <x:v>PR-202</x:v>
      </x:c>
      <x:c r="D48" t="str">
        <x:v>캡 부품 B형</x:v>
      </x:c>
      <x:c r="E48" t="str">
        <x:v>주간</x:v>
      </x:c>
      <x:c r="F48" s="22" t="n">
        <x:v>520</x:v>
      </x:c>
      <x:c r="G48" s="22" t="n">
        <x:v>552</x:v>
      </x:c>
      <x:c r="H48" s="22" t="n">
        <x:v>21</x:v>
      </x:c>
      <x:c r="I48" s="23"/>
      <x:c r="J48" s="20"/>
      <x:c r="K48" s="20"/>
      <x:c r="L48" s="26"/>
      <x:c r="M48" s="16"/>
      <x:c r="N48" s="16"/>
      <x:c r="O48" t="str"/>
    </x:row>
    <x:row r="49" ht="21" customHeight="1">
      <x:c r="A49" s="18" t="n">
        <x:v>46280</x:v>
      </x:c>
      <x:c r="B49" t="str">
        <x:v>B라인</x:v>
      </x:c>
      <x:c r="C49" t="str">
        <x:v>PR-101</x:v>
      </x:c>
      <x:c r="D49" t="str">
        <x:v>플라스틱 용기 500ml</x:v>
      </x:c>
      <x:c r="E49" t="str">
        <x:v>주간</x:v>
      </x:c>
      <x:c r="F49" s="22" t="n">
        <x:v>480</x:v>
      </x:c>
      <x:c r="G49" s="22" t="n">
        <x:v>492</x:v>
      </x:c>
      <x:c r="H49" s="22" t="n">
        <x:v>12</x:v>
      </x:c>
      <x:c r="I49" s="23"/>
      <x:c r="J49" s="20"/>
      <x:c r="K49" s="20"/>
      <x:c r="L49" s="26"/>
      <x:c r="M49" s="16"/>
      <x:c r="N49" s="16"/>
      <x:c r="O49" t="str"/>
    </x:row>
    <x:row r="50" ht="21" customHeight="1">
      <x:c r="A50" s="18" t="n">
        <x:v>46280</x:v>
      </x:c>
      <x:c r="B50" t="str">
        <x:v>C라인</x:v>
      </x:c>
      <x:c r="C50" t="str">
        <x:v>PR-102</x:v>
      </x:c>
      <x:c r="D50" t="str">
        <x:v>플라스틱 용기 1L</x:v>
      </x:c>
      <x:c r="E50" t="str">
        <x:v>주간</x:v>
      </x:c>
      <x:c r="F50" s="22" t="n">
        <x:v>450</x:v>
      </x:c>
      <x:c r="G50" s="22" t="n">
        <x:v>435</x:v>
      </x:c>
      <x:c r="H50" s="22" t="n">
        <x:v>17</x:v>
      </x:c>
      <x:c r="I50" s="23"/>
      <x:c r="J50" s="20"/>
      <x:c r="K50" s="20"/>
      <x:c r="L50" s="26"/>
      <x:c r="M50" s="16"/>
      <x:c r="N50" s="16"/>
      <x:c r="O50" t="str"/>
    </x:row>
    <x:row r="51" ht="21" customHeight="1">
      <x:c r="A51" s="18" t="n">
        <x:v>46281</x:v>
      </x:c>
      <x:c r="B51" t="str">
        <x:v>A라인</x:v>
      </x:c>
      <x:c r="C51" t="str">
        <x:v>PR-101</x:v>
      </x:c>
      <x:c r="D51" t="str">
        <x:v>플라스틱 용기 500ml</x:v>
      </x:c>
      <x:c r="E51" t="str">
        <x:v>야간</x:v>
      </x:c>
      <x:c r="F51" s="22" t="n">
        <x:v>520</x:v>
      </x:c>
      <x:c r="G51" s="22" t="n">
        <x:v>432</x:v>
      </x:c>
      <x:c r="H51" s="22" t="n">
        <x:v>4</x:v>
      </x:c>
      <x:c r="I51" s="23"/>
      <x:c r="J51" s="20"/>
      <x:c r="K51" s="20"/>
      <x:c r="L51" s="26"/>
      <x:c r="M51" s="16"/>
      <x:c r="N51" s="16"/>
      <x:c r="O51" t="str"/>
    </x:row>
    <x:row r="52" ht="21" customHeight="1">
      <x:c r="A52" s="18" t="n">
        <x:v>46281</x:v>
      </x:c>
      <x:c r="B52" t="str">
        <x:v>B라인</x:v>
      </x:c>
      <x:c r="C52" t="str">
        <x:v>PR-102</x:v>
      </x:c>
      <x:c r="D52" t="str">
        <x:v>플라스틱 용기 1L</x:v>
      </x:c>
      <x:c r="E52" t="str">
        <x:v>야간</x:v>
      </x:c>
      <x:c r="F52" s="22" t="n">
        <x:v>480</x:v>
      </x:c>
      <x:c r="G52" s="22" t="n">
        <x:v>542</x:v>
      </x:c>
      <x:c r="H52" s="22" t="n">
        <x:v>24</x:v>
      </x:c>
      <x:c r="I52" s="23"/>
      <x:c r="J52" s="20"/>
      <x:c r="K52" s="20"/>
      <x:c r="L52" s="26"/>
      <x:c r="M52" s="16"/>
      <x:c r="N52" s="16"/>
      <x:c r="O52" t="str"/>
    </x:row>
    <x:row r="53" ht="21" customHeight="1">
      <x:c r="A53" s="18" t="n">
        <x:v>46281</x:v>
      </x:c>
      <x:c r="B53" t="str">
        <x:v>C라인</x:v>
      </x:c>
      <x:c r="C53" t="str">
        <x:v>PR-201</x:v>
      </x:c>
      <x:c r="D53" t="str">
        <x:v>캡 부품 A형</x:v>
      </x:c>
      <x:c r="E53" t="str">
        <x:v>야간</x:v>
      </x:c>
      <x:c r="F53" s="22" t="n">
        <x:v>450</x:v>
      </x:c>
      <x:c r="G53" s="22" t="n">
        <x:v>493</x:v>
      </x:c>
      <x:c r="H53" s="22" t="n">
        <x:v>21</x:v>
      </x:c>
      <x:c r="I53" s="23"/>
      <x:c r="J53" s="20"/>
      <x:c r="K53" s="20"/>
      <x:c r="L53" s="26"/>
      <x:c r="M53" s="16"/>
      <x:c r="N53" s="16"/>
      <x:c r="O53" t="str"/>
    </x:row>
    <x:row r="54" ht="21" customHeight="1">
      <x:c r="A54" s="18" t="n">
        <x:v>46282</x:v>
      </x:c>
      <x:c r="B54" t="str">
        <x:v>A라인</x:v>
      </x:c>
      <x:c r="C54" t="str">
        <x:v>PR-102</x:v>
      </x:c>
      <x:c r="D54" t="str">
        <x:v>플라스틱 용기 1L</x:v>
      </x:c>
      <x:c r="E54" t="str">
        <x:v>주간</x:v>
      </x:c>
      <x:c r="F54" s="22" t="n">
        <x:v>520</x:v>
      </x:c>
      <x:c r="G54" s="22" t="n">
        <x:v>522</x:v>
      </x:c>
      <x:c r="H54" s="22" t="n">
        <x:v>22</x:v>
      </x:c>
      <x:c r="I54" s="23"/>
      <x:c r="J54" s="20"/>
      <x:c r="K54" s="20"/>
      <x:c r="L54" s="26"/>
      <x:c r="M54" s="16"/>
      <x:c r="N54" s="16"/>
      <x:c r="O54" t="str"/>
    </x:row>
    <x:row r="55" ht="21" customHeight="1">
      <x:c r="A55" s="18" t="n">
        <x:v>46282</x:v>
      </x:c>
      <x:c r="B55" t="str">
        <x:v>B라인</x:v>
      </x:c>
      <x:c r="C55" t="str">
        <x:v>PR-201</x:v>
      </x:c>
      <x:c r="D55" t="str">
        <x:v>캡 부품 A형</x:v>
      </x:c>
      <x:c r="E55" t="str">
        <x:v>주간</x:v>
      </x:c>
      <x:c r="F55" s="22" t="n">
        <x:v>480</x:v>
      </x:c>
      <x:c r="G55" s="22" t="n">
        <x:v>456</x:v>
      </x:c>
      <x:c r="H55" s="22" t="n">
        <x:v>31</x:v>
      </x:c>
      <x:c r="I55" s="23"/>
      <x:c r="J55" s="20"/>
      <x:c r="K55" s="20"/>
      <x:c r="L55" s="26"/>
      <x:c r="M55" s="16"/>
      <x:c r="N55" s="16"/>
      <x:c r="O55" t="str"/>
    </x:row>
    <x:row r="56" ht="21" customHeight="1">
      <x:c r="A56" s="18" t="n">
        <x:v>46282</x:v>
      </x:c>
      <x:c r="B56" t="str">
        <x:v>C라인</x:v>
      </x:c>
      <x:c r="C56" t="str">
        <x:v>PR-202</x:v>
      </x:c>
      <x:c r="D56" t="str">
        <x:v>캡 부품 B형</x:v>
      </x:c>
      <x:c r="E56" t="str">
        <x:v>주간</x:v>
      </x:c>
      <x:c r="F56" s="22" t="n">
        <x:v>450</x:v>
      </x:c>
      <x:c r="G56" s="22" t="n">
        <x:v>479</x:v>
      </x:c>
      <x:c r="H56" s="22" t="n">
        <x:v>13</x:v>
      </x:c>
      <x:c r="I56" s="23"/>
      <x:c r="J56" s="20"/>
      <x:c r="K56" s="20"/>
      <x:c r="L56" s="26"/>
      <x:c r="M56" s="16"/>
      <x:c r="N56" s="16"/>
      <x:c r="O56" t="str"/>
    </x:row>
    <x:row r="57" ht="21" customHeight="1">
      <x:c r="A57" s="18" t="n">
        <x:v>46283</x:v>
      </x:c>
      <x:c r="B57" t="str">
        <x:v>A라인</x:v>
      </x:c>
      <x:c r="C57" t="str">
        <x:v>PR-201</x:v>
      </x:c>
      <x:c r="D57" t="str">
        <x:v>캡 부품 A형</x:v>
      </x:c>
      <x:c r="E57" t="str">
        <x:v>야간</x:v>
      </x:c>
      <x:c r="F57" s="22" t="n">
        <x:v>520</x:v>
      </x:c>
      <x:c r="G57" s="22" t="n">
        <x:v>557</x:v>
      </x:c>
      <x:c r="H57" s="22" t="n">
        <x:v>22</x:v>
      </x:c>
      <x:c r="I57" s="23"/>
      <x:c r="J57" s="20"/>
      <x:c r="K57" s="20"/>
      <x:c r="L57" s="26"/>
      <x:c r="M57" s="16"/>
      <x:c r="N57" s="16"/>
      <x:c r="O57" t="str"/>
    </x:row>
    <x:row r="58" ht="21" customHeight="1">
      <x:c r="A58" s="18" t="n">
        <x:v>46283</x:v>
      </x:c>
      <x:c r="B58" t="str">
        <x:v>B라인</x:v>
      </x:c>
      <x:c r="C58" t="str">
        <x:v>PR-202</x:v>
      </x:c>
      <x:c r="D58" t="str">
        <x:v>캡 부품 B형</x:v>
      </x:c>
      <x:c r="E58" t="str">
        <x:v>야간</x:v>
      </x:c>
      <x:c r="F58" s="22" t="n">
        <x:v>480</x:v>
      </x:c>
      <x:c r="G58" s="22" t="n">
        <x:v>532</x:v>
      </x:c>
      <x:c r="H58" s="22" t="n">
        <x:v>18</x:v>
      </x:c>
      <x:c r="I58" s="23"/>
      <x:c r="J58" s="20"/>
      <x:c r="K58" s="20"/>
      <x:c r="L58" s="26"/>
      <x:c r="M58" s="16"/>
      <x:c r="N58" s="16"/>
      <x:c r="O58" t="str"/>
    </x:row>
    <x:row r="59" ht="21" customHeight="1">
      <x:c r="A59" s="18" t="n">
        <x:v>46283</x:v>
      </x:c>
      <x:c r="B59" t="str">
        <x:v>C라인</x:v>
      </x:c>
      <x:c r="C59" t="str">
        <x:v>PR-101</x:v>
      </x:c>
      <x:c r="D59" t="str">
        <x:v>플라스틱 용기 500ml</x:v>
      </x:c>
      <x:c r="E59" t="str">
        <x:v>야간</x:v>
      </x:c>
      <x:c r="F59" s="22" t="n">
        <x:v>450</x:v>
      </x:c>
      <x:c r="G59" s="22" t="n">
        <x:v>368</x:v>
      </x:c>
      <x:c r="H59" s="22" t="n">
        <x:v>15</x:v>
      </x:c>
      <x:c r="I59" s="23"/>
      <x:c r="J59" s="20"/>
      <x:c r="K59" s="20"/>
      <x:c r="L59" s="26"/>
      <x:c r="M59" s="16"/>
      <x:c r="N59" s="16"/>
      <x:c r="O59" t="str"/>
    </x:row>
    <x:row r="60" ht="21" customHeight="1">
      <x:c r="A60" s="18" t="n">
        <x:v>46284</x:v>
      </x:c>
      <x:c r="B60" t="str">
        <x:v>A라인</x:v>
      </x:c>
      <x:c r="C60" t="str">
        <x:v>PR-202</x:v>
      </x:c>
      <x:c r="D60" t="str">
        <x:v>캡 부품 B형</x:v>
      </x:c>
      <x:c r="E60" t="str">
        <x:v>주간</x:v>
      </x:c>
      <x:c r="F60" s="22" t="n">
        <x:v>520</x:v>
      </x:c>
      <x:c r="G60" s="22" t="n">
        <x:v>511</x:v>
      </x:c>
      <x:c r="H60" s="22" t="n">
        <x:v>13</x:v>
      </x:c>
      <x:c r="I60" s="23"/>
      <x:c r="J60" s="20"/>
      <x:c r="K60" s="20"/>
      <x:c r="L60" s="26"/>
      <x:c r="M60" s="16"/>
      <x:c r="N60" s="16"/>
      <x:c r="O60" t="str"/>
    </x:row>
    <x:row r="61" ht="21" customHeight="1">
      <x:c r="A61" s="18" t="n">
        <x:v>46284</x:v>
      </x:c>
      <x:c r="B61" t="str">
        <x:v>B라인</x:v>
      </x:c>
      <x:c r="C61" t="str">
        <x:v>PR-101</x:v>
      </x:c>
      <x:c r="D61" t="str">
        <x:v>플라스틱 용기 500ml</x:v>
      </x:c>
      <x:c r="E61" t="str">
        <x:v>주간</x:v>
      </x:c>
      <x:c r="F61" s="22" t="n">
        <x:v>480</x:v>
      </x:c>
      <x:c r="G61" s="22" t="n">
        <x:v>415</x:v>
      </x:c>
      <x:c r="H61" s="22" t="n">
        <x:v>10</x:v>
      </x:c>
      <x:c r="I61" s="23"/>
      <x:c r="J61" s="20"/>
      <x:c r="K61" s="20"/>
      <x:c r="L61" s="26"/>
      <x:c r="M61" s="16"/>
      <x:c r="N61" s="16"/>
      <x:c r="O61" t="str"/>
    </x:row>
    <x:row r="62" ht="21" customHeight="1">
      <x:c r="A62" s="18" t="n">
        <x:v>46284</x:v>
      </x:c>
      <x:c r="B62" t="str">
        <x:v>C라인</x:v>
      </x:c>
      <x:c r="C62" t="str">
        <x:v>PR-102</x:v>
      </x:c>
      <x:c r="D62" t="str">
        <x:v>플라스틱 용기 1L</x:v>
      </x:c>
      <x:c r="E62" t="str">
        <x:v>주간</x:v>
      </x:c>
      <x:c r="F62" s="22" t="n">
        <x:v>450</x:v>
      </x:c>
      <x:c r="G62" s="22" t="n">
        <x:v>491</x:v>
      </x:c>
      <x:c r="H62" s="22" t="n">
        <x:v>9</x:v>
      </x:c>
      <x:c r="I62" s="23"/>
      <x:c r="J62" s="20"/>
      <x:c r="K62" s="20"/>
      <x:c r="L62" s="26"/>
      <x:c r="M62" s="16"/>
      <x:c r="N62" s="16"/>
      <x:c r="O62" t="str"/>
    </x:row>
    <x:row r="63" ht="21" customHeight="1">
      <x:c r="A63" s="18" t="n">
        <x:v>46285</x:v>
      </x:c>
      <x:c r="B63" t="str">
        <x:v>A라인</x:v>
      </x:c>
      <x:c r="C63" t="str">
        <x:v>PR-101</x:v>
      </x:c>
      <x:c r="D63" t="str">
        <x:v>플라스틱 용기 500ml</x:v>
      </x:c>
      <x:c r="E63" t="str">
        <x:v>야간</x:v>
      </x:c>
      <x:c r="F63" s="22" t="n">
        <x:v>520</x:v>
      </x:c>
      <x:c r="G63" s="22" t="n">
        <x:v>476</x:v>
      </x:c>
      <x:c r="H63" s="22" t="n">
        <x:v>21</x:v>
      </x:c>
      <x:c r="I63" s="23"/>
      <x:c r="J63" s="20"/>
      <x:c r="K63" s="20"/>
      <x:c r="L63" s="26"/>
      <x:c r="M63" s="16"/>
      <x:c r="N63" s="16"/>
      <x:c r="O63" t="str"/>
    </x:row>
    <x:row r="64" ht="21" customHeight="1">
      <x:c r="A64" s="18" t="n">
        <x:v>46285</x:v>
      </x:c>
      <x:c r="B64" t="str">
        <x:v>B라인</x:v>
      </x:c>
      <x:c r="C64" t="str">
        <x:v>PR-102</x:v>
      </x:c>
      <x:c r="D64" t="str">
        <x:v>플라스틱 용기 1L</x:v>
      </x:c>
      <x:c r="E64" t="str">
        <x:v>야간</x:v>
      </x:c>
      <x:c r="F64" s="22" t="n">
        <x:v>480</x:v>
      </x:c>
      <x:c r="G64" s="22" t="n">
        <x:v>512</x:v>
      </x:c>
      <x:c r="H64" s="22" t="n">
        <x:v>22</x:v>
      </x:c>
      <x:c r="I64" s="23"/>
      <x:c r="J64" s="20"/>
      <x:c r="K64" s="20"/>
      <x:c r="L64" s="26"/>
      <x:c r="M64" s="16"/>
      <x:c r="N64" s="16"/>
      <x:c r="O64" t="str"/>
    </x:row>
    <x:row r="65" ht="21" customHeight="1">
      <x:c r="A65" s="18" t="n">
        <x:v>46285</x:v>
      </x:c>
      <x:c r="B65" t="str">
        <x:v>C라인</x:v>
      </x:c>
      <x:c r="C65" t="str">
        <x:v>PR-201</x:v>
      </x:c>
      <x:c r="D65" t="str">
        <x:v>캡 부품 A형</x:v>
      </x:c>
      <x:c r="E65" t="str">
        <x:v>야간</x:v>
      </x:c>
      <x:c r="F65" s="22" t="n">
        <x:v>450</x:v>
      </x:c>
      <x:c r="G65" s="22" t="n">
        <x:v>428</x:v>
      </x:c>
      <x:c r="H65" s="22" t="n">
        <x:v>18</x:v>
      </x:c>
      <x:c r="I65" s="23"/>
      <x:c r="J65" s="20"/>
      <x:c r="K65" s="20"/>
      <x:c r="L65" s="26"/>
      <x:c r="M65" s="16"/>
      <x:c r="N65" s="16"/>
      <x:c r="O65" t="str"/>
    </x:row>
    <x:row r="67" ht="25" customHeight="1">
      <x:c r="A67" s="29" t="str">
        <x:v>합계 / 집계</x:v>
      </x:c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173c9919cfec484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</x:cols>
  <x:sheetData>
    <x:row r="1" ht="24" customHeight="1">
      <x:c r="A1" s="3" t="str">
        <x:v>제조업 생산실적 관리대장 | 완성예시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4" customHeight="1">
      <x:c r="A3" s="7" t="str">
        <x:v>I~N열 정답 수식 입력 완료 · 달성 기준 100% / 불량률 기준 3%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 ht="28" customHeight="1">
      <x:c r="A5" s="12" t="str">
        <x:v>작업일자</x:v>
      </x:c>
      <x:c r="B5" s="12" t="str">
        <x:v>생산라인</x:v>
      </x:c>
      <x:c r="C5" s="12" t="str">
        <x:v>제품코드</x:v>
      </x:c>
      <x:c r="D5" s="12" t="str">
        <x:v>제품명</x:v>
      </x:c>
      <x:c r="E5" s="12" t="str">
        <x:v>근무조</x:v>
      </x:c>
      <x:c r="F5" s="12" t="str">
        <x:v>목표수량</x:v>
      </x:c>
      <x:c r="G5" s="12" t="str">
        <x:v>생산수량</x:v>
      </x:c>
      <x:c r="H5" s="12" t="str">
        <x:v>불량수량</x:v>
      </x:c>
      <x:c r="I5" s="12" t="str">
        <x:v>양품수량</x:v>
      </x:c>
      <x:c r="J5" s="12" t="str">
        <x:v>달성률</x:v>
      </x:c>
      <x:c r="K5" s="12" t="str">
        <x:v>불량률</x:v>
      </x:c>
      <x:c r="L5" s="12" t="str">
        <x:v>목표차이</x:v>
      </x:c>
      <x:c r="M5" s="12" t="str">
        <x:v>생산판정</x:v>
      </x:c>
      <x:c r="N5" s="12" t="str">
        <x:v>품질판정</x:v>
      </x:c>
      <x:c r="O5" s="12" t="str">
        <x:v>비고</x:v>
      </x:c>
    </x:row>
    <x:row r="6" ht="21" customHeight="1">
      <x:c r="A6" s="18" t="n">
        <x:v>46266</x:v>
      </x:c>
      <x:c r="B6" t="str">
        <x:v>A라인</x:v>
      </x:c>
      <x:c r="C6" t="str">
        <x:v>PR-102</x:v>
      </x:c>
      <x:c r="D6" t="str">
        <x:v>플라스틱 용기 1L</x:v>
      </x:c>
      <x:c r="E6" t="str">
        <x:v>주간</x:v>
      </x:c>
      <x:c r="F6" s="22" t="n">
        <x:v>520</x:v>
      </x:c>
      <x:c r="G6" s="22" t="n">
        <x:v>460</x:v>
      </x:c>
      <x:c r="H6" s="22" t="n">
        <x:v>9</x:v>
      </x:c>
      <x:c r="I6" s="23" t="n">
        <x:f>G6-H6</x:f>
        <x:v>451</x:v>
      </x:c>
      <x:c r="J6" s="20" t="n">
        <x:f>IFERROR(G6/F6,0)</x:f>
        <x:v>0.8846153846153846</x:v>
      </x:c>
      <x:c r="K6" s="20" t="n">
        <x:f>IFERROR(H6/G6,0)</x:f>
        <x:v>0.01956521739130435</x:v>
      </x:c>
      <x:c r="L6" s="26" t="n">
        <x:f>G6-F6</x:f>
        <x:v>-60</x:v>
      </x:c>
      <x:c r="M6" s="16" t="str">
        <x:f>IF(J6&gt;=100%,"달성","미달")</x:f>
        <x:v>미달</x:v>
      </x:c>
      <x:c r="N6" s="16" t="str">
        <x:f>IF(K6&lt;=3%,"정상","주의")</x:f>
        <x:v>정상</x:v>
      </x:c>
      <x:c r="O6" t="str"/>
    </x:row>
    <x:row r="7" ht="21" customHeight="1">
      <x:c r="A7" s="18" t="n">
        <x:v>46266</x:v>
      </x:c>
      <x:c r="B7" t="str">
        <x:v>B라인</x:v>
      </x:c>
      <x:c r="C7" t="str">
        <x:v>PR-201</x:v>
      </x:c>
      <x:c r="D7" t="str">
        <x:v>캡 부품 A형</x:v>
      </x:c>
      <x:c r="E7" t="str">
        <x:v>주간</x:v>
      </x:c>
      <x:c r="F7" s="22" t="n">
        <x:v>480</x:v>
      </x:c>
      <x:c r="G7" s="22" t="n">
        <x:v>521</x:v>
      </x:c>
      <x:c r="H7" s="22" t="n">
        <x:v>17</x:v>
      </x:c>
      <x:c r="I7" s="23" t="n">
        <x:f>G7-H7</x:f>
        <x:v>504</x:v>
      </x:c>
      <x:c r="J7" s="20" t="n">
        <x:f>IFERROR(G7/F7,0)</x:f>
        <x:v>1.0854166666666667</x:v>
      </x:c>
      <x:c r="K7" s="20" t="n">
        <x:f>IFERROR(H7/G7,0)</x:f>
        <x:v>0.03262955854126679</x:v>
      </x:c>
      <x:c r="L7" s="26" t="n">
        <x:f>G7-F7</x:f>
        <x:v>41</x:v>
      </x:c>
      <x:c r="M7" s="16" t="str">
        <x:f>IF(J7&gt;=100%,"달성","미달")</x:f>
        <x:v>달성</x:v>
      </x:c>
      <x:c r="N7" s="16" t="str">
        <x:f>IF(K7&lt;=3%,"정상","주의")</x:f>
        <x:v>주의</x:v>
      </x:c>
      <x:c r="O7" t="str"/>
    </x:row>
    <x:row r="8" ht="21" customHeight="1">
      <x:c r="A8" s="18" t="n">
        <x:v>46266</x:v>
      </x:c>
      <x:c r="B8" t="str">
        <x:v>C라인</x:v>
      </x:c>
      <x:c r="C8" t="str">
        <x:v>PR-202</x:v>
      </x:c>
      <x:c r="D8" t="str">
        <x:v>캡 부품 B형</x:v>
      </x:c>
      <x:c r="E8" t="str">
        <x:v>주간</x:v>
      </x:c>
      <x:c r="F8" s="22" t="n">
        <x:v>450</x:v>
      </x:c>
      <x:c r="G8" s="22" t="n">
        <x:v>386</x:v>
      </x:c>
      <x:c r="H8" s="22" t="n">
        <x:v>16</x:v>
      </x:c>
      <x:c r="I8" s="23" t="n">
        <x:f>G8-H8</x:f>
        <x:v>370</x:v>
      </x:c>
      <x:c r="J8" s="20" t="n">
        <x:f>IFERROR(G8/F8,0)</x:f>
        <x:v>0.8577777777777778</x:v>
      </x:c>
      <x:c r="K8" s="20" t="n">
        <x:f>IFERROR(H8/G8,0)</x:f>
        <x:v>0.04145077720207254</x:v>
      </x:c>
      <x:c r="L8" s="26" t="n">
        <x:f>G8-F8</x:f>
        <x:v>-64</x:v>
      </x:c>
      <x:c r="M8" s="16" t="str">
        <x:f>IF(J8&gt;=100%,"달성","미달")</x:f>
        <x:v>미달</x:v>
      </x:c>
      <x:c r="N8" s="16" t="str">
        <x:f>IF(K8&lt;=3%,"정상","주의")</x:f>
        <x:v>주의</x:v>
      </x:c>
      <x:c r="O8" t="str"/>
    </x:row>
    <x:row r="9" ht="21" customHeight="1">
      <x:c r="A9" s="18" t="n">
        <x:v>46267</x:v>
      </x:c>
      <x:c r="B9" t="str">
        <x:v>A라인</x:v>
      </x:c>
      <x:c r="C9" t="str">
        <x:v>PR-201</x:v>
      </x:c>
      <x:c r="D9" t="str">
        <x:v>캡 부품 A형</x:v>
      </x:c>
      <x:c r="E9" t="str">
        <x:v>야간</x:v>
      </x:c>
      <x:c r="F9" s="22" t="n">
        <x:v>520</x:v>
      </x:c>
      <x:c r="G9" s="22" t="n">
        <x:v>583</x:v>
      </x:c>
      <x:c r="H9" s="22" t="n">
        <x:v>18</x:v>
      </x:c>
      <x:c r="I9" s="23" t="n">
        <x:f>G9-H9</x:f>
        <x:v>565</x:v>
      </x:c>
      <x:c r="J9" s="20" t="n">
        <x:f>IFERROR(G9/F9,0)</x:f>
        <x:v>1.1211538461538462</x:v>
      </x:c>
      <x:c r="K9" s="20" t="n">
        <x:f>IFERROR(H9/G9,0)</x:f>
        <x:v>0.030874785591766724</x:v>
      </x:c>
      <x:c r="L9" s="26" t="n">
        <x:f>G9-F9</x:f>
        <x:v>63</x:v>
      </x:c>
      <x:c r="M9" s="16" t="str">
        <x:f>IF(J9&gt;=100%,"달성","미달")</x:f>
        <x:v>달성</x:v>
      </x:c>
      <x:c r="N9" s="16" t="str">
        <x:f>IF(K9&lt;=3%,"정상","주의")</x:f>
        <x:v>주의</x:v>
      </x:c>
      <x:c r="O9" t="str"/>
    </x:row>
    <x:row r="10" ht="21" customHeight="1">
      <x:c r="A10" s="18" t="n">
        <x:v>46267</x:v>
      </x:c>
      <x:c r="B10" t="str">
        <x:v>B라인</x:v>
      </x:c>
      <x:c r="C10" t="str">
        <x:v>PR-202</x:v>
      </x:c>
      <x:c r="D10" t="str">
        <x:v>캡 부품 B형</x:v>
      </x:c>
      <x:c r="E10" t="str">
        <x:v>야간</x:v>
      </x:c>
      <x:c r="F10" s="22" t="n">
        <x:v>480</x:v>
      </x:c>
      <x:c r="G10" s="22" t="n">
        <x:v>497</x:v>
      </x:c>
      <x:c r="H10" s="22" t="n">
        <x:v>19</x:v>
      </x:c>
      <x:c r="I10" s="23" t="n">
        <x:f>G10-H10</x:f>
        <x:v>478</x:v>
      </x:c>
      <x:c r="J10" s="20" t="n">
        <x:f>IFERROR(G10/F10,0)</x:f>
        <x:v>1.0354166666666667</x:v>
      </x:c>
      <x:c r="K10" s="20" t="n">
        <x:f>IFERROR(H10/G10,0)</x:f>
        <x:v>0.03822937625754527</x:v>
      </x:c>
      <x:c r="L10" s="26" t="n">
        <x:f>G10-F10</x:f>
        <x:v>17</x:v>
      </x:c>
      <x:c r="M10" s="16" t="str">
        <x:f>IF(J10&gt;=100%,"달성","미달")</x:f>
        <x:v>달성</x:v>
      </x:c>
      <x:c r="N10" s="16" t="str">
        <x:f>IF(K10&lt;=3%,"정상","주의")</x:f>
        <x:v>주의</x:v>
      </x:c>
      <x:c r="O10" t="str"/>
    </x:row>
    <x:row r="11" ht="21" customHeight="1">
      <x:c r="A11" s="18" t="n">
        <x:v>46267</x:v>
      </x:c>
      <x:c r="B11" t="str">
        <x:v>C라인</x:v>
      </x:c>
      <x:c r="C11" t="str">
        <x:v>PR-101</x:v>
      </x:c>
      <x:c r="D11" t="str">
        <x:v>플라스틱 용기 500ml</x:v>
      </x:c>
      <x:c r="E11" t="str">
        <x:v>야간</x:v>
      </x:c>
      <x:c r="F11" s="22" t="n">
        <x:v>450</x:v>
      </x:c>
      <x:c r="G11" s="22" t="n">
        <x:v>500</x:v>
      </x:c>
      <x:c r="H11" s="22" t="n">
        <x:v>20</x:v>
      </x:c>
      <x:c r="I11" s="23" t="n">
        <x:f>G11-H11</x:f>
        <x:v>480</x:v>
      </x:c>
      <x:c r="J11" s="20" t="n">
        <x:f>IFERROR(G11/F11,0)</x:f>
        <x:v>1.1111111111111112</x:v>
      </x:c>
      <x:c r="K11" s="20" t="n">
        <x:f>IFERROR(H11/G11,0)</x:f>
        <x:v>0.04</x:v>
      </x:c>
      <x:c r="L11" s="26" t="n">
        <x:f>G11-F11</x:f>
        <x:v>50</x:v>
      </x:c>
      <x:c r="M11" s="16" t="str">
        <x:f>IF(J11&gt;=100%,"달성","미달")</x:f>
        <x:v>달성</x:v>
      </x:c>
      <x:c r="N11" s="16" t="str">
        <x:f>IF(K11&lt;=3%,"정상","주의")</x:f>
        <x:v>주의</x:v>
      </x:c>
      <x:c r="O11" t="str"/>
    </x:row>
    <x:row r="12" ht="21" customHeight="1">
      <x:c r="A12" s="18" t="n">
        <x:v>46268</x:v>
      </x:c>
      <x:c r="B12" t="str">
        <x:v>A라인</x:v>
      </x:c>
      <x:c r="C12" t="str">
        <x:v>PR-202</x:v>
      </x:c>
      <x:c r="D12" t="str">
        <x:v>캡 부품 B형</x:v>
      </x:c>
      <x:c r="E12" t="str">
        <x:v>주간</x:v>
      </x:c>
      <x:c r="F12" s="22" t="n">
        <x:v>520</x:v>
      </x:c>
      <x:c r="G12" s="22" t="n">
        <x:v>555</x:v>
      </x:c>
      <x:c r="H12" s="22" t="n">
        <x:v>20</x:v>
      </x:c>
      <x:c r="I12" s="23" t="n">
        <x:f>G12-H12</x:f>
        <x:v>535</x:v>
      </x:c>
      <x:c r="J12" s="20" t="n">
        <x:f>IFERROR(G12/F12,0)</x:f>
        <x:v>1.0673076923076923</x:v>
      </x:c>
      <x:c r="K12" s="20" t="n">
        <x:f>IFERROR(H12/G12,0)</x:f>
        <x:v>0.036036036036036036</x:v>
      </x:c>
      <x:c r="L12" s="26" t="n">
        <x:f>G12-F12</x:f>
        <x:v>35</x:v>
      </x:c>
      <x:c r="M12" s="16" t="str">
        <x:f>IF(J12&gt;=100%,"달성","미달")</x:f>
        <x:v>달성</x:v>
      </x:c>
      <x:c r="N12" s="16" t="str">
        <x:f>IF(K12&lt;=3%,"정상","주의")</x:f>
        <x:v>주의</x:v>
      </x:c>
      <x:c r="O12" t="str"/>
    </x:row>
    <x:row r="13" ht="21" customHeight="1">
      <x:c r="A13" s="18" t="n">
        <x:v>46268</x:v>
      </x:c>
      <x:c r="B13" t="str">
        <x:v>B라인</x:v>
      </x:c>
      <x:c r="C13" t="str">
        <x:v>PR-101</x:v>
      </x:c>
      <x:c r="D13" t="str">
        <x:v>플라스틱 용기 500ml</x:v>
      </x:c>
      <x:c r="E13" t="str">
        <x:v>주간</x:v>
      </x:c>
      <x:c r="F13" s="22" t="n">
        <x:v>480</x:v>
      </x:c>
      <x:c r="G13" s="22" t="n">
        <x:v>540</x:v>
      </x:c>
      <x:c r="H13" s="22" t="n">
        <x:v>13</x:v>
      </x:c>
      <x:c r="I13" s="23" t="n">
        <x:f>G13-H13</x:f>
        <x:v>527</x:v>
      </x:c>
      <x:c r="J13" s="20" t="n">
        <x:f>IFERROR(G13/F13,0)</x:f>
        <x:v>1.125</x:v>
      </x:c>
      <x:c r="K13" s="20" t="n">
        <x:f>IFERROR(H13/G13,0)</x:f>
        <x:v>0.024074074074074074</x:v>
      </x:c>
      <x:c r="L13" s="26" t="n">
        <x:f>G13-F13</x:f>
        <x:v>60</x:v>
      </x:c>
      <x:c r="M13" s="16" t="str">
        <x:f>IF(J13&gt;=100%,"달성","미달")</x:f>
        <x:v>달성</x:v>
      </x:c>
      <x:c r="N13" s="16" t="str">
        <x:f>IF(K13&lt;=3%,"정상","주의")</x:f>
        <x:v>정상</x:v>
      </x:c>
      <x:c r="O13" t="str"/>
    </x:row>
    <x:row r="14" ht="21" customHeight="1">
      <x:c r="A14" s="18" t="n">
        <x:v>46268</x:v>
      </x:c>
      <x:c r="B14" t="str">
        <x:v>C라인</x:v>
      </x:c>
      <x:c r="C14" t="str">
        <x:v>PR-102</x:v>
      </x:c>
      <x:c r="D14" t="str">
        <x:v>플라스틱 용기 1L</x:v>
      </x:c>
      <x:c r="E14" t="str">
        <x:v>주간</x:v>
      </x:c>
      <x:c r="F14" s="22" t="n">
        <x:v>450</x:v>
      </x:c>
      <x:c r="G14" s="22" t="n">
        <x:v>360</x:v>
      </x:c>
      <x:c r="H14" s="22" t="n">
        <x:v>11</x:v>
      </x:c>
      <x:c r="I14" s="23" t="n">
        <x:f>G14-H14</x:f>
        <x:v>349</x:v>
      </x:c>
      <x:c r="J14" s="20" t="n">
        <x:f>IFERROR(G14/F14,0)</x:f>
        <x:v>0.8</x:v>
      </x:c>
      <x:c r="K14" s="20" t="n">
        <x:f>IFERROR(H14/G14,0)</x:f>
        <x:v>0.030555555555555555</x:v>
      </x:c>
      <x:c r="L14" s="26" t="n">
        <x:f>G14-F14</x:f>
        <x:v>-90</x:v>
      </x:c>
      <x:c r="M14" s="16" t="str">
        <x:f>IF(J14&gt;=100%,"달성","미달")</x:f>
        <x:v>미달</x:v>
      </x:c>
      <x:c r="N14" s="16" t="str">
        <x:f>IF(K14&lt;=3%,"정상","주의")</x:f>
        <x:v>주의</x:v>
      </x:c>
      <x:c r="O14" t="str"/>
    </x:row>
    <x:row r="15" ht="21" customHeight="1">
      <x:c r="A15" s="18" t="n">
        <x:v>46269</x:v>
      </x:c>
      <x:c r="B15" t="str">
        <x:v>A라인</x:v>
      </x:c>
      <x:c r="C15" t="str">
        <x:v>PR-101</x:v>
      </x:c>
      <x:c r="D15" t="str">
        <x:v>플라스틱 용기 500ml</x:v>
      </x:c>
      <x:c r="E15" t="str">
        <x:v>야간</x:v>
      </x:c>
      <x:c r="F15" s="22" t="n">
        <x:v>520</x:v>
      </x:c>
      <x:c r="G15" s="22" t="n">
        <x:v>458</x:v>
      </x:c>
      <x:c r="H15" s="22" t="n">
        <x:v>9</x:v>
      </x:c>
      <x:c r="I15" s="23" t="n">
        <x:f>G15-H15</x:f>
        <x:v>449</x:v>
      </x:c>
      <x:c r="J15" s="20" t="n">
        <x:f>IFERROR(G15/F15,0)</x:f>
        <x:v>0.8807692307692307</x:v>
      </x:c>
      <x:c r="K15" s="20" t="n">
        <x:f>IFERROR(H15/G15,0)</x:f>
        <x:v>0.019650655021834062</x:v>
      </x:c>
      <x:c r="L15" s="26" t="n">
        <x:f>G15-F15</x:f>
        <x:v>-62</x:v>
      </x:c>
      <x:c r="M15" s="16" t="str">
        <x:f>IF(J15&gt;=100%,"달성","미달")</x:f>
        <x:v>미달</x:v>
      </x:c>
      <x:c r="N15" s="16" t="str">
        <x:f>IF(K15&lt;=3%,"정상","주의")</x:f>
        <x:v>정상</x:v>
      </x:c>
      <x:c r="O15" t="str"/>
    </x:row>
    <x:row r="16" ht="21" customHeight="1">
      <x:c r="A16" s="18" t="n">
        <x:v>46269</x:v>
      </x:c>
      <x:c r="B16" t="str">
        <x:v>B라인</x:v>
      </x:c>
      <x:c r="C16" t="str">
        <x:v>PR-102</x:v>
      </x:c>
      <x:c r="D16" t="str">
        <x:v>플라스틱 용기 1L</x:v>
      </x:c>
      <x:c r="E16" t="str">
        <x:v>야간</x:v>
      </x:c>
      <x:c r="F16" s="22" t="n">
        <x:v>480</x:v>
      </x:c>
      <x:c r="G16" s="22" t="n">
        <x:v>415</x:v>
      </x:c>
      <x:c r="H16" s="22" t="n">
        <x:v>10</x:v>
      </x:c>
      <x:c r="I16" s="23" t="n">
        <x:f>G16-H16</x:f>
        <x:v>405</x:v>
      </x:c>
      <x:c r="J16" s="20" t="n">
        <x:f>IFERROR(G16/F16,0)</x:f>
        <x:v>0.8645833333333334</x:v>
      </x:c>
      <x:c r="K16" s="20" t="n">
        <x:f>IFERROR(H16/G16,0)</x:f>
        <x:v>0.024096385542168676</x:v>
      </x:c>
      <x:c r="L16" s="26" t="n">
        <x:f>G16-F16</x:f>
        <x:v>-65</x:v>
      </x:c>
      <x:c r="M16" s="16" t="str">
        <x:f>IF(J16&gt;=100%,"달성","미달")</x:f>
        <x:v>미달</x:v>
      </x:c>
      <x:c r="N16" s="16" t="str">
        <x:f>IF(K16&lt;=3%,"정상","주의")</x:f>
        <x:v>정상</x:v>
      </x:c>
      <x:c r="O16" t="str"/>
    </x:row>
    <x:row r="17" ht="21" customHeight="1">
      <x:c r="A17" s="18" t="n">
        <x:v>46269</x:v>
      </x:c>
      <x:c r="B17" t="str">
        <x:v>C라인</x:v>
      </x:c>
      <x:c r="C17" t="str">
        <x:v>PR-201</x:v>
      </x:c>
      <x:c r="D17" t="str">
        <x:v>캡 부품 A형</x:v>
      </x:c>
      <x:c r="E17" t="str">
        <x:v>야간</x:v>
      </x:c>
      <x:c r="F17" s="22" t="n">
        <x:v>450</x:v>
      </x:c>
      <x:c r="G17" s="22" t="n">
        <x:v>485</x:v>
      </x:c>
      <x:c r="H17" s="22" t="n">
        <x:v>16</x:v>
      </x:c>
      <x:c r="I17" s="23" t="n">
        <x:f>G17-H17</x:f>
        <x:v>469</x:v>
      </x:c>
      <x:c r="J17" s="20" t="n">
        <x:f>IFERROR(G17/F17,0)</x:f>
        <x:v>1.0777777777777777</x:v>
      </x:c>
      <x:c r="K17" s="20" t="n">
        <x:f>IFERROR(H17/G17,0)</x:f>
        <x:v>0.032989690721649485</x:v>
      </x:c>
      <x:c r="L17" s="26" t="n">
        <x:f>G17-F17</x:f>
        <x:v>35</x:v>
      </x:c>
      <x:c r="M17" s="16" t="str">
        <x:f>IF(J17&gt;=100%,"달성","미달")</x:f>
        <x:v>달성</x:v>
      </x:c>
      <x:c r="N17" s="16" t="str">
        <x:f>IF(K17&lt;=3%,"정상","주의")</x:f>
        <x:v>주의</x:v>
      </x:c>
      <x:c r="O17" t="str"/>
    </x:row>
    <x:row r="18" ht="21" customHeight="1">
      <x:c r="A18" s="18" t="n">
        <x:v>46270</x:v>
      </x:c>
      <x:c r="B18" t="str">
        <x:v>A라인</x:v>
      </x:c>
      <x:c r="C18" t="str">
        <x:v>PR-102</x:v>
      </x:c>
      <x:c r="D18" t="str">
        <x:v>플라스틱 용기 1L</x:v>
      </x:c>
      <x:c r="E18" t="str">
        <x:v>주간</x:v>
      </x:c>
      <x:c r="F18" s="22" t="n">
        <x:v>520</x:v>
      </x:c>
      <x:c r="G18" s="22" t="n">
        <x:v>483</x:v>
      </x:c>
      <x:c r="H18" s="22" t="n">
        <x:v>11</x:v>
      </x:c>
      <x:c r="I18" s="23" t="n">
        <x:f>G18-H18</x:f>
        <x:v>472</x:v>
      </x:c>
      <x:c r="J18" s="20" t="n">
        <x:f>IFERROR(G18/F18,0)</x:f>
        <x:v>0.9288461538461539</x:v>
      </x:c>
      <x:c r="K18" s="20" t="n">
        <x:f>IFERROR(H18/G18,0)</x:f>
        <x:v>0.022774327122153208</x:v>
      </x:c>
      <x:c r="L18" s="26" t="n">
        <x:f>G18-F18</x:f>
        <x:v>-37</x:v>
      </x:c>
      <x:c r="M18" s="16" t="str">
        <x:f>IF(J18&gt;=100%,"달성","미달")</x:f>
        <x:v>미달</x:v>
      </x:c>
      <x:c r="N18" s="16" t="str">
        <x:f>IF(K18&lt;=3%,"정상","주의")</x:f>
        <x:v>정상</x:v>
      </x:c>
      <x:c r="O18" t="str"/>
    </x:row>
    <x:row r="19" ht="21" customHeight="1">
      <x:c r="A19" s="18" t="n">
        <x:v>46270</x:v>
      </x:c>
      <x:c r="B19" t="str">
        <x:v>B라인</x:v>
      </x:c>
      <x:c r="C19" t="str">
        <x:v>PR-201</x:v>
      </x:c>
      <x:c r="D19" t="str">
        <x:v>캡 부품 A형</x:v>
      </x:c>
      <x:c r="E19" t="str">
        <x:v>주간</x:v>
      </x:c>
      <x:c r="F19" s="22" t="n">
        <x:v>480</x:v>
      </x:c>
      <x:c r="G19" s="22" t="n">
        <x:v>479</x:v>
      </x:c>
      <x:c r="H19" s="22" t="n">
        <x:v>22</x:v>
      </x:c>
      <x:c r="I19" s="23" t="n">
        <x:f>G19-H19</x:f>
        <x:v>457</x:v>
      </x:c>
      <x:c r="J19" s="20" t="n">
        <x:f>IFERROR(G19/F19,0)</x:f>
        <x:v>0.9979166666666667</x:v>
      </x:c>
      <x:c r="K19" s="20" t="n">
        <x:f>IFERROR(H19/G19,0)</x:f>
        <x:v>0.04592901878914405</x:v>
      </x:c>
      <x:c r="L19" s="26" t="n">
        <x:f>G19-F19</x:f>
        <x:v>-1</x:v>
      </x:c>
      <x:c r="M19" s="16" t="str">
        <x:f>IF(J19&gt;=100%,"달성","미달")</x:f>
        <x:v>미달</x:v>
      </x:c>
      <x:c r="N19" s="16" t="str">
        <x:f>IF(K19&lt;=3%,"정상","주의")</x:f>
        <x:v>주의</x:v>
      </x:c>
      <x:c r="O19" t="str"/>
    </x:row>
    <x:row r="20" ht="21" customHeight="1">
      <x:c r="A20" s="18" t="n">
        <x:v>46270</x:v>
      </x:c>
      <x:c r="B20" t="str">
        <x:v>C라인</x:v>
      </x:c>
      <x:c r="C20" t="str">
        <x:v>PR-202</x:v>
      </x:c>
      <x:c r="D20" t="str">
        <x:v>캡 부품 B형</x:v>
      </x:c>
      <x:c r="E20" t="str">
        <x:v>주간</x:v>
      </x:c>
      <x:c r="F20" s="22" t="n">
        <x:v>450</x:v>
      </x:c>
      <x:c r="G20" s="22" t="n">
        <x:v>451</x:v>
      </x:c>
      <x:c r="H20" s="22" t="n">
        <x:v>17</x:v>
      </x:c>
      <x:c r="I20" s="23" t="n">
        <x:f>G20-H20</x:f>
        <x:v>434</x:v>
      </x:c>
      <x:c r="J20" s="20" t="n">
        <x:f>IFERROR(G20/F20,0)</x:f>
        <x:v>1.0022222222222221</x:v>
      </x:c>
      <x:c r="K20" s="20" t="n">
        <x:f>IFERROR(H20/G20,0)</x:f>
        <x:v>0.037694013303769404</x:v>
      </x:c>
      <x:c r="L20" s="26" t="n">
        <x:f>G20-F20</x:f>
        <x:v>1</x:v>
      </x:c>
      <x:c r="M20" s="16" t="str">
        <x:f>IF(J20&gt;=100%,"달성","미달")</x:f>
        <x:v>달성</x:v>
      </x:c>
      <x:c r="N20" s="16" t="str">
        <x:f>IF(K20&lt;=3%,"정상","주의")</x:f>
        <x:v>주의</x:v>
      </x:c>
      <x:c r="O20" t="str"/>
    </x:row>
    <x:row r="21" ht="21" customHeight="1">
      <x:c r="A21" s="18" t="n">
        <x:v>46271</x:v>
      </x:c>
      <x:c r="B21" t="str">
        <x:v>A라인</x:v>
      </x:c>
      <x:c r="C21" t="str">
        <x:v>PR-201</x:v>
      </x:c>
      <x:c r="D21" t="str">
        <x:v>캡 부품 A형</x:v>
      </x:c>
      <x:c r="E21" t="str">
        <x:v>야간</x:v>
      </x:c>
      <x:c r="F21" s="22" t="n">
        <x:v>520</x:v>
      </x:c>
      <x:c r="G21" s="22" t="n">
        <x:v>561</x:v>
      </x:c>
      <x:c r="H21" s="22" t="n">
        <x:v>18</x:v>
      </x:c>
      <x:c r="I21" s="23" t="n">
        <x:f>G21-H21</x:f>
        <x:v>543</x:v>
      </x:c>
      <x:c r="J21" s="20" t="n">
        <x:f>IFERROR(G21/F21,0)</x:f>
        <x:v>1.0788461538461538</x:v>
      </x:c>
      <x:c r="K21" s="20" t="n">
        <x:f>IFERROR(H21/G21,0)</x:f>
        <x:v>0.03208556149732621</x:v>
      </x:c>
      <x:c r="L21" s="26" t="n">
        <x:f>G21-F21</x:f>
        <x:v>41</x:v>
      </x:c>
      <x:c r="M21" s="16" t="str">
        <x:f>IF(J21&gt;=100%,"달성","미달")</x:f>
        <x:v>달성</x:v>
      </x:c>
      <x:c r="N21" s="16" t="str">
        <x:f>IF(K21&lt;=3%,"정상","주의")</x:f>
        <x:v>주의</x:v>
      </x:c>
      <x:c r="O21" t="str"/>
    </x:row>
    <x:row r="22" ht="21" customHeight="1">
      <x:c r="A22" s="18" t="n">
        <x:v>46271</x:v>
      </x:c>
      <x:c r="B22" t="str">
        <x:v>B라인</x:v>
      </x:c>
      <x:c r="C22" t="str">
        <x:v>PR-202</x:v>
      </x:c>
      <x:c r="D22" t="str">
        <x:v>캡 부품 B형</x:v>
      </x:c>
      <x:c r="E22" t="str">
        <x:v>야간</x:v>
      </x:c>
      <x:c r="F22" s="22" t="n">
        <x:v>480</x:v>
      </x:c>
      <x:c r="G22" s="22" t="n">
        <x:v>477</x:v>
      </x:c>
      <x:c r="H22" s="22" t="n">
        <x:v>32</x:v>
      </x:c>
      <x:c r="I22" s="23" t="n">
        <x:f>G22-H22</x:f>
        <x:v>445</x:v>
      </x:c>
      <x:c r="J22" s="20" t="n">
        <x:f>IFERROR(G22/F22,0)</x:f>
        <x:v>0.99375</x:v>
      </x:c>
      <x:c r="K22" s="20" t="n">
        <x:f>IFERROR(H22/G22,0)</x:f>
        <x:v>0.06708595387840671</x:v>
      </x:c>
      <x:c r="L22" s="26" t="n">
        <x:f>G22-F22</x:f>
        <x:v>-3</x:v>
      </x:c>
      <x:c r="M22" s="16" t="str">
        <x:f>IF(J22&gt;=100%,"달성","미달")</x:f>
        <x:v>미달</x:v>
      </x:c>
      <x:c r="N22" s="16" t="str">
        <x:f>IF(K22&lt;=3%,"정상","주의")</x:f>
        <x:v>주의</x:v>
      </x:c>
      <x:c r="O22" t="str"/>
    </x:row>
    <x:row r="23" ht="21" customHeight="1">
      <x:c r="A23" s="18" t="n">
        <x:v>46271</x:v>
      </x:c>
      <x:c r="B23" t="str">
        <x:v>C라인</x:v>
      </x:c>
      <x:c r="C23" t="str">
        <x:v>PR-101</x:v>
      </x:c>
      <x:c r="D23" t="str">
        <x:v>플라스틱 용기 500ml</x:v>
      </x:c>
      <x:c r="E23" t="str">
        <x:v>야간</x:v>
      </x:c>
      <x:c r="F23" s="22" t="n">
        <x:v>450</x:v>
      </x:c>
      <x:c r="G23" s="22" t="n">
        <x:v>497</x:v>
      </x:c>
      <x:c r="H23" s="22" t="n">
        <x:v>9</x:v>
      </x:c>
      <x:c r="I23" s="23" t="n">
        <x:f>G23-H23</x:f>
        <x:v>488</x:v>
      </x:c>
      <x:c r="J23" s="20" t="n">
        <x:f>IFERROR(G23/F23,0)</x:f>
        <x:v>1.1044444444444443</x:v>
      </x:c>
      <x:c r="K23" s="20" t="n">
        <x:f>IFERROR(H23/G23,0)</x:f>
        <x:v>0.018108651911468814</x:v>
      </x:c>
      <x:c r="L23" s="26" t="n">
        <x:f>G23-F23</x:f>
        <x:v>47</x:v>
      </x:c>
      <x:c r="M23" s="16" t="str">
        <x:f>IF(J23&gt;=100%,"달성","미달")</x:f>
        <x:v>달성</x:v>
      </x:c>
      <x:c r="N23" s="16" t="str">
        <x:f>IF(K23&lt;=3%,"정상","주의")</x:f>
        <x:v>정상</x:v>
      </x:c>
      <x:c r="O23" t="str"/>
    </x:row>
    <x:row r="24" ht="21" customHeight="1">
      <x:c r="A24" s="18" t="n">
        <x:v>46272</x:v>
      </x:c>
      <x:c r="B24" t="str">
        <x:v>A라인</x:v>
      </x:c>
      <x:c r="C24" t="str">
        <x:v>PR-202</x:v>
      </x:c>
      <x:c r="D24" t="str">
        <x:v>캡 부품 B형</x:v>
      </x:c>
      <x:c r="E24" t="str">
        <x:v>주간</x:v>
      </x:c>
      <x:c r="F24" s="22" t="n">
        <x:v>520</x:v>
      </x:c>
      <x:c r="G24" s="22" t="n">
        <x:v>547</x:v>
      </x:c>
      <x:c r="H24" s="22" t="n">
        <x:v>7</x:v>
      </x:c>
      <x:c r="I24" s="23" t="n">
        <x:f>G24-H24</x:f>
        <x:v>540</x:v>
      </x:c>
      <x:c r="J24" s="20" t="n">
        <x:f>IFERROR(G24/F24,0)</x:f>
        <x:v>1.051923076923077</x:v>
      </x:c>
      <x:c r="K24" s="20" t="n">
        <x:f>IFERROR(H24/G24,0)</x:f>
        <x:v>0.012797074954296161</x:v>
      </x:c>
      <x:c r="L24" s="26" t="n">
        <x:f>G24-F24</x:f>
        <x:v>27</x:v>
      </x:c>
      <x:c r="M24" s="16" t="str">
        <x:f>IF(J24&gt;=100%,"달성","미달")</x:f>
        <x:v>달성</x:v>
      </x:c>
      <x:c r="N24" s="16" t="str">
        <x:f>IF(K24&lt;=3%,"정상","주의")</x:f>
        <x:v>정상</x:v>
      </x:c>
      <x:c r="O24" t="str"/>
    </x:row>
    <x:row r="25" ht="21" customHeight="1">
      <x:c r="A25" s="18" t="n">
        <x:v>46272</x:v>
      </x:c>
      <x:c r="B25" t="str">
        <x:v>B라인</x:v>
      </x:c>
      <x:c r="C25" t="str">
        <x:v>PR-101</x:v>
      </x:c>
      <x:c r="D25" t="str">
        <x:v>플라스틱 용기 500ml</x:v>
      </x:c>
      <x:c r="E25" t="str">
        <x:v>주간</x:v>
      </x:c>
      <x:c r="F25" s="22" t="n">
        <x:v>480</x:v>
      </x:c>
      <x:c r="G25" s="22" t="n">
        <x:v>555</x:v>
      </x:c>
      <x:c r="H25" s="22" t="n">
        <x:v>19</x:v>
      </x:c>
      <x:c r="I25" s="23" t="n">
        <x:f>G25-H25</x:f>
        <x:v>536</x:v>
      </x:c>
      <x:c r="J25" s="20" t="n">
        <x:f>IFERROR(G25/F25,0)</x:f>
        <x:v>1.15625</x:v>
      </x:c>
      <x:c r="K25" s="20" t="n">
        <x:f>IFERROR(H25/G25,0)</x:f>
        <x:v>0.03423423423423423</x:v>
      </x:c>
      <x:c r="L25" s="26" t="n">
        <x:f>G25-F25</x:f>
        <x:v>75</x:v>
      </x:c>
      <x:c r="M25" s="16" t="str">
        <x:f>IF(J25&gt;=100%,"달성","미달")</x:f>
        <x:v>달성</x:v>
      </x:c>
      <x:c r="N25" s="16" t="str">
        <x:f>IF(K25&lt;=3%,"정상","주의")</x:f>
        <x:v>주의</x:v>
      </x:c>
      <x:c r="O25" t="str"/>
    </x:row>
    <x:row r="26" ht="21" customHeight="1">
      <x:c r="A26" s="18" t="n">
        <x:v>46272</x:v>
      </x:c>
      <x:c r="B26" t="str">
        <x:v>C라인</x:v>
      </x:c>
      <x:c r="C26" t="str">
        <x:v>PR-102</x:v>
      </x:c>
      <x:c r="D26" t="str">
        <x:v>플라스틱 용기 1L</x:v>
      </x:c>
      <x:c r="E26" t="str">
        <x:v>주간</x:v>
      </x:c>
      <x:c r="F26" s="22" t="n">
        <x:v>450</x:v>
      </x:c>
      <x:c r="G26" s="22" t="n">
        <x:v>507</x:v>
      </x:c>
      <x:c r="H26" s="22" t="n">
        <x:v>10</x:v>
      </x:c>
      <x:c r="I26" s="23" t="n">
        <x:f>G26-H26</x:f>
        <x:v>497</x:v>
      </x:c>
      <x:c r="J26" s="20" t="n">
        <x:f>IFERROR(G26/F26,0)</x:f>
        <x:v>1.1266666666666667</x:v>
      </x:c>
      <x:c r="K26" s="20" t="n">
        <x:f>IFERROR(H26/G26,0)</x:f>
        <x:v>0.01972386587771203</x:v>
      </x:c>
      <x:c r="L26" s="26" t="n">
        <x:f>G26-F26</x:f>
        <x:v>57</x:v>
      </x:c>
      <x:c r="M26" s="16" t="str">
        <x:f>IF(J26&gt;=100%,"달성","미달")</x:f>
        <x:v>달성</x:v>
      </x:c>
      <x:c r="N26" s="16" t="str">
        <x:f>IF(K26&lt;=3%,"정상","주의")</x:f>
        <x:v>정상</x:v>
      </x:c>
      <x:c r="O26" t="str"/>
    </x:row>
    <x:row r="27" ht="21" customHeight="1">
      <x:c r="A27" s="18" t="n">
        <x:v>46273</x:v>
      </x:c>
      <x:c r="B27" t="str">
        <x:v>A라인</x:v>
      </x:c>
      <x:c r="C27" t="str">
        <x:v>PR-101</x:v>
      </x:c>
      <x:c r="D27" t="str">
        <x:v>플라스틱 용기 500ml</x:v>
      </x:c>
      <x:c r="E27" t="str">
        <x:v>야간</x:v>
      </x:c>
      <x:c r="F27" s="22" t="n">
        <x:v>520</x:v>
      </x:c>
      <x:c r="G27" s="22" t="n">
        <x:v>524</x:v>
      </x:c>
      <x:c r="H27" s="22" t="n">
        <x:v>11</x:v>
      </x:c>
      <x:c r="I27" s="23" t="n">
        <x:f>G27-H27</x:f>
        <x:v>513</x:v>
      </x:c>
      <x:c r="J27" s="20" t="n">
        <x:f>IFERROR(G27/F27,0)</x:f>
        <x:v>1.0076923076923077</x:v>
      </x:c>
      <x:c r="K27" s="20" t="n">
        <x:f>IFERROR(H27/G27,0)</x:f>
        <x:v>0.02099236641221374</x:v>
      </x:c>
      <x:c r="L27" s="26" t="n">
        <x:f>G27-F27</x:f>
        <x:v>4</x:v>
      </x:c>
      <x:c r="M27" s="16" t="str">
        <x:f>IF(J27&gt;=100%,"달성","미달")</x:f>
        <x:v>달성</x:v>
      </x:c>
      <x:c r="N27" s="16" t="str">
        <x:f>IF(K27&lt;=3%,"정상","주의")</x:f>
        <x:v>정상</x:v>
      </x:c>
      <x:c r="O27" t="str"/>
    </x:row>
    <x:row r="28" ht="21" customHeight="1">
      <x:c r="A28" s="18" t="n">
        <x:v>46273</x:v>
      </x:c>
      <x:c r="B28" t="str">
        <x:v>B라인</x:v>
      </x:c>
      <x:c r="C28" t="str">
        <x:v>PR-102</x:v>
      </x:c>
      <x:c r="D28" t="str">
        <x:v>플라스틱 용기 1L</x:v>
      </x:c>
      <x:c r="E28" t="str">
        <x:v>야간</x:v>
      </x:c>
      <x:c r="F28" s="22" t="n">
        <x:v>480</x:v>
      </x:c>
      <x:c r="G28" s="22" t="n">
        <x:v>498</x:v>
      </x:c>
      <x:c r="H28" s="22" t="n">
        <x:v>6</x:v>
      </x:c>
      <x:c r="I28" s="23" t="n">
        <x:f>G28-H28</x:f>
        <x:v>492</x:v>
      </x:c>
      <x:c r="J28" s="20" t="n">
        <x:f>IFERROR(G28/F28,0)</x:f>
        <x:v>1.0375</x:v>
      </x:c>
      <x:c r="K28" s="20" t="n">
        <x:f>IFERROR(H28/G28,0)</x:f>
        <x:v>0.012048192771084338</x:v>
      </x:c>
      <x:c r="L28" s="26" t="n">
        <x:f>G28-F28</x:f>
        <x:v>18</x:v>
      </x:c>
      <x:c r="M28" s="16" t="str">
        <x:f>IF(J28&gt;=100%,"달성","미달")</x:f>
        <x:v>달성</x:v>
      </x:c>
      <x:c r="N28" s="16" t="str">
        <x:f>IF(K28&lt;=3%,"정상","주의")</x:f>
        <x:v>정상</x:v>
      </x:c>
      <x:c r="O28" t="str"/>
    </x:row>
    <x:row r="29" ht="21" customHeight="1">
      <x:c r="A29" s="18" t="n">
        <x:v>46273</x:v>
      </x:c>
      <x:c r="B29" t="str">
        <x:v>C라인</x:v>
      </x:c>
      <x:c r="C29" t="str">
        <x:v>PR-201</x:v>
      </x:c>
      <x:c r="D29" t="str">
        <x:v>캡 부품 A형</x:v>
      </x:c>
      <x:c r="E29" t="str">
        <x:v>야간</x:v>
      </x:c>
      <x:c r="F29" s="22" t="n">
        <x:v>450</x:v>
      </x:c>
      <x:c r="G29" s="22" t="n">
        <x:v>509</x:v>
      </x:c>
      <x:c r="H29" s="22" t="n">
        <x:v>15</x:v>
      </x:c>
      <x:c r="I29" s="23" t="n">
        <x:f>G29-H29</x:f>
        <x:v>494</x:v>
      </x:c>
      <x:c r="J29" s="20" t="n">
        <x:f>IFERROR(G29/F29,0)</x:f>
        <x:v>1.1311111111111112</x:v>
      </x:c>
      <x:c r="K29" s="20" t="n">
        <x:f>IFERROR(H29/G29,0)</x:f>
        <x:v>0.029469548133595286</x:v>
      </x:c>
      <x:c r="L29" s="26" t="n">
        <x:f>G29-F29</x:f>
        <x:v>59</x:v>
      </x:c>
      <x:c r="M29" s="16" t="str">
        <x:f>IF(J29&gt;=100%,"달성","미달")</x:f>
        <x:v>달성</x:v>
      </x:c>
      <x:c r="N29" s="16" t="str">
        <x:f>IF(K29&lt;=3%,"정상","주의")</x:f>
        <x:v>정상</x:v>
      </x:c>
      <x:c r="O29" t="str"/>
    </x:row>
    <x:row r="30" ht="21" customHeight="1">
      <x:c r="A30" s="18" t="n">
        <x:v>46274</x:v>
      </x:c>
      <x:c r="B30" t="str">
        <x:v>A라인</x:v>
      </x:c>
      <x:c r="C30" t="str">
        <x:v>PR-102</x:v>
      </x:c>
      <x:c r="D30" t="str">
        <x:v>플라스틱 용기 1L</x:v>
      </x:c>
      <x:c r="E30" t="str">
        <x:v>주간</x:v>
      </x:c>
      <x:c r="F30" s="22" t="n">
        <x:v>520</x:v>
      </x:c>
      <x:c r="G30" s="22" t="n">
        <x:v>459</x:v>
      </x:c>
      <x:c r="H30" s="22" t="n">
        <x:v>11</x:v>
      </x:c>
      <x:c r="I30" s="23" t="n">
        <x:f>G30-H30</x:f>
        <x:v>448</x:v>
      </x:c>
      <x:c r="J30" s="20" t="n">
        <x:f>IFERROR(G30/F30,0)</x:f>
        <x:v>0.8826923076923077</x:v>
      </x:c>
      <x:c r="K30" s="20" t="n">
        <x:f>IFERROR(H30/G30,0)</x:f>
        <x:v>0.023965141612200435</x:v>
      </x:c>
      <x:c r="L30" s="26" t="n">
        <x:f>G30-F30</x:f>
        <x:v>-61</x:v>
      </x:c>
      <x:c r="M30" s="16" t="str">
        <x:f>IF(J30&gt;=100%,"달성","미달")</x:f>
        <x:v>미달</x:v>
      </x:c>
      <x:c r="N30" s="16" t="str">
        <x:f>IF(K30&lt;=3%,"정상","주의")</x:f>
        <x:v>정상</x:v>
      </x:c>
      <x:c r="O30" t="str"/>
    </x:row>
    <x:row r="31" ht="21" customHeight="1">
      <x:c r="A31" s="18" t="n">
        <x:v>46274</x:v>
      </x:c>
      <x:c r="B31" t="str">
        <x:v>B라인</x:v>
      </x:c>
      <x:c r="C31" t="str">
        <x:v>PR-201</x:v>
      </x:c>
      <x:c r="D31" t="str">
        <x:v>캡 부품 A형</x:v>
      </x:c>
      <x:c r="E31" t="str">
        <x:v>주간</x:v>
      </x:c>
      <x:c r="F31" s="22" t="n">
        <x:v>480</x:v>
      </x:c>
      <x:c r="G31" s="22" t="n">
        <x:v>543</x:v>
      </x:c>
      <x:c r="H31" s="22" t="n">
        <x:v>22</x:v>
      </x:c>
      <x:c r="I31" s="23" t="n">
        <x:f>G31-H31</x:f>
        <x:v>521</x:v>
      </x:c>
      <x:c r="J31" s="20" t="n">
        <x:f>IFERROR(G31/F31,0)</x:f>
        <x:v>1.13125</x:v>
      </x:c>
      <x:c r="K31" s="20" t="n">
        <x:f>IFERROR(H31/G31,0)</x:f>
        <x:v>0.040515653775322284</x:v>
      </x:c>
      <x:c r="L31" s="26" t="n">
        <x:f>G31-F31</x:f>
        <x:v>63</x:v>
      </x:c>
      <x:c r="M31" s="16" t="str">
        <x:f>IF(J31&gt;=100%,"달성","미달")</x:f>
        <x:v>달성</x:v>
      </x:c>
      <x:c r="N31" s="16" t="str">
        <x:f>IF(K31&lt;=3%,"정상","주의")</x:f>
        <x:v>주의</x:v>
      </x:c>
      <x:c r="O31" t="str"/>
    </x:row>
    <x:row r="32" ht="21" customHeight="1">
      <x:c r="A32" s="18" t="n">
        <x:v>46274</x:v>
      </x:c>
      <x:c r="B32" t="str">
        <x:v>C라인</x:v>
      </x:c>
      <x:c r="C32" t="str">
        <x:v>PR-202</x:v>
      </x:c>
      <x:c r="D32" t="str">
        <x:v>캡 부품 B형</x:v>
      </x:c>
      <x:c r="E32" t="str">
        <x:v>주간</x:v>
      </x:c>
      <x:c r="F32" s="22" t="n">
        <x:v>450</x:v>
      </x:c>
      <x:c r="G32" s="22" t="n">
        <x:v>461</x:v>
      </x:c>
      <x:c r="H32" s="22" t="n">
        <x:v>20</x:v>
      </x:c>
      <x:c r="I32" s="23" t="n">
        <x:f>G32-H32</x:f>
        <x:v>441</x:v>
      </x:c>
      <x:c r="J32" s="20" t="n">
        <x:f>IFERROR(G32/F32,0)</x:f>
        <x:v>1.0244444444444445</x:v>
      </x:c>
      <x:c r="K32" s="20" t="n">
        <x:f>IFERROR(H32/G32,0)</x:f>
        <x:v>0.04338394793926247</x:v>
      </x:c>
      <x:c r="L32" s="26" t="n">
        <x:f>G32-F32</x:f>
        <x:v>11</x:v>
      </x:c>
      <x:c r="M32" s="16" t="str">
        <x:f>IF(J32&gt;=100%,"달성","미달")</x:f>
        <x:v>달성</x:v>
      </x:c>
      <x:c r="N32" s="16" t="str">
        <x:f>IF(K32&lt;=3%,"정상","주의")</x:f>
        <x:v>주의</x:v>
      </x:c>
      <x:c r="O32" t="str"/>
    </x:row>
    <x:row r="33" ht="21" customHeight="1">
      <x:c r="A33" s="18" t="n">
        <x:v>46275</x:v>
      </x:c>
      <x:c r="B33" t="str">
        <x:v>A라인</x:v>
      </x:c>
      <x:c r="C33" t="str">
        <x:v>PR-201</x:v>
      </x:c>
      <x:c r="D33" t="str">
        <x:v>캡 부품 A형</x:v>
      </x:c>
      <x:c r="E33" t="str">
        <x:v>야간</x:v>
      </x:c>
      <x:c r="F33" s="22" t="n">
        <x:v>520</x:v>
      </x:c>
      <x:c r="G33" s="22" t="n">
        <x:v>496</x:v>
      </x:c>
      <x:c r="H33" s="22" t="n">
        <x:v>20</x:v>
      </x:c>
      <x:c r="I33" s="23" t="n">
        <x:f>G33-H33</x:f>
        <x:v>476</x:v>
      </x:c>
      <x:c r="J33" s="20" t="n">
        <x:f>IFERROR(G33/F33,0)</x:f>
        <x:v>0.9538461538461539</x:v>
      </x:c>
      <x:c r="K33" s="20" t="n">
        <x:f>IFERROR(H33/G33,0)</x:f>
        <x:v>0.04032258064516129</x:v>
      </x:c>
      <x:c r="L33" s="26" t="n">
        <x:f>G33-F33</x:f>
        <x:v>-24</x:v>
      </x:c>
      <x:c r="M33" s="16" t="str">
        <x:f>IF(J33&gt;=100%,"달성","미달")</x:f>
        <x:v>미달</x:v>
      </x:c>
      <x:c r="N33" s="16" t="str">
        <x:f>IF(K33&lt;=3%,"정상","주의")</x:f>
        <x:v>주의</x:v>
      </x:c>
      <x:c r="O33" t="str"/>
    </x:row>
    <x:row r="34" ht="21" customHeight="1">
      <x:c r="A34" s="18" t="n">
        <x:v>46275</x:v>
      </x:c>
      <x:c r="B34" t="str">
        <x:v>B라인</x:v>
      </x:c>
      <x:c r="C34" t="str">
        <x:v>PR-202</x:v>
      </x:c>
      <x:c r="D34" t="str">
        <x:v>캡 부품 B형</x:v>
      </x:c>
      <x:c r="E34" t="str">
        <x:v>야간</x:v>
      </x:c>
      <x:c r="F34" s="22" t="n">
        <x:v>480</x:v>
      </x:c>
      <x:c r="G34" s="22" t="n">
        <x:v>534</x:v>
      </x:c>
      <x:c r="H34" s="22" t="n">
        <x:v>23</x:v>
      </x:c>
      <x:c r="I34" s="23" t="n">
        <x:f>G34-H34</x:f>
        <x:v>511</x:v>
      </x:c>
      <x:c r="J34" s="20" t="n">
        <x:f>IFERROR(G34/F34,0)</x:f>
        <x:v>1.1125</x:v>
      </x:c>
      <x:c r="K34" s="20" t="n">
        <x:f>IFERROR(H34/G34,0)</x:f>
        <x:v>0.04307116104868914</x:v>
      </x:c>
      <x:c r="L34" s="26" t="n">
        <x:f>G34-F34</x:f>
        <x:v>54</x:v>
      </x:c>
      <x:c r="M34" s="16" t="str">
        <x:f>IF(J34&gt;=100%,"달성","미달")</x:f>
        <x:v>달성</x:v>
      </x:c>
      <x:c r="N34" s="16" t="str">
        <x:f>IF(K34&lt;=3%,"정상","주의")</x:f>
        <x:v>주의</x:v>
      </x:c>
      <x:c r="O34" t="str"/>
    </x:row>
    <x:row r="35" ht="21" customHeight="1">
      <x:c r="A35" s="18" t="n">
        <x:v>46275</x:v>
      </x:c>
      <x:c r="B35" t="str">
        <x:v>C라인</x:v>
      </x:c>
      <x:c r="C35" t="str">
        <x:v>PR-101</x:v>
      </x:c>
      <x:c r="D35" t="str">
        <x:v>플라스틱 용기 500ml</x:v>
      </x:c>
      <x:c r="E35" t="str">
        <x:v>야간</x:v>
      </x:c>
      <x:c r="F35" s="22" t="n">
        <x:v>450</x:v>
      </x:c>
      <x:c r="G35" s="22" t="n">
        <x:v>482</x:v>
      </x:c>
      <x:c r="H35" s="22" t="n">
        <x:v>13</x:v>
      </x:c>
      <x:c r="I35" s="23" t="n">
        <x:f>G35-H35</x:f>
        <x:v>469</x:v>
      </x:c>
      <x:c r="J35" s="20" t="n">
        <x:f>IFERROR(G35/F35,0)</x:f>
        <x:v>1.0711111111111111</x:v>
      </x:c>
      <x:c r="K35" s="20" t="n">
        <x:f>IFERROR(H35/G35,0)</x:f>
        <x:v>0.026970954356846474</x:v>
      </x:c>
      <x:c r="L35" s="26" t="n">
        <x:f>G35-F35</x:f>
        <x:v>32</x:v>
      </x:c>
      <x:c r="M35" s="16" t="str">
        <x:f>IF(J35&gt;=100%,"달성","미달")</x:f>
        <x:v>달성</x:v>
      </x:c>
      <x:c r="N35" s="16" t="str">
        <x:f>IF(K35&lt;=3%,"정상","주의")</x:f>
        <x:v>정상</x:v>
      </x:c>
      <x:c r="O35" t="str"/>
    </x:row>
    <x:row r="36" ht="21" customHeight="1">
      <x:c r="A36" s="18" t="n">
        <x:v>46276</x:v>
      </x:c>
      <x:c r="B36" t="str">
        <x:v>A라인</x:v>
      </x:c>
      <x:c r="C36" t="str">
        <x:v>PR-202</x:v>
      </x:c>
      <x:c r="D36" t="str">
        <x:v>캡 부품 B형</x:v>
      </x:c>
      <x:c r="E36" t="str">
        <x:v>주간</x:v>
      </x:c>
      <x:c r="F36" s="22" t="n">
        <x:v>520</x:v>
      </x:c>
      <x:c r="G36" s="22" t="n">
        <x:v>436</x:v>
      </x:c>
      <x:c r="H36" s="22" t="n">
        <x:v>13</x:v>
      </x:c>
      <x:c r="I36" s="23" t="n">
        <x:f>G36-H36</x:f>
        <x:v>423</x:v>
      </x:c>
      <x:c r="J36" s="20" t="n">
        <x:f>IFERROR(G36/F36,0)</x:f>
        <x:v>0.8384615384615385</x:v>
      </x:c>
      <x:c r="K36" s="20" t="n">
        <x:f>IFERROR(H36/G36,0)</x:f>
        <x:v>0.02981651376146789</x:v>
      </x:c>
      <x:c r="L36" s="26" t="n">
        <x:f>G36-F36</x:f>
        <x:v>-84</x:v>
      </x:c>
      <x:c r="M36" s="16" t="str">
        <x:f>IF(J36&gt;=100%,"달성","미달")</x:f>
        <x:v>미달</x:v>
      </x:c>
      <x:c r="N36" s="16" t="str">
        <x:f>IF(K36&lt;=3%,"정상","주의")</x:f>
        <x:v>정상</x:v>
      </x:c>
      <x:c r="O36" t="str"/>
    </x:row>
    <x:row r="37" ht="21" customHeight="1">
      <x:c r="A37" s="18" t="n">
        <x:v>46276</x:v>
      </x:c>
      <x:c r="B37" t="str">
        <x:v>B라인</x:v>
      </x:c>
      <x:c r="C37" t="str">
        <x:v>PR-101</x:v>
      </x:c>
      <x:c r="D37" t="str">
        <x:v>플라스틱 용기 500ml</x:v>
      </x:c>
      <x:c r="E37" t="str">
        <x:v>주간</x:v>
      </x:c>
      <x:c r="F37" s="22" t="n">
        <x:v>480</x:v>
      </x:c>
      <x:c r="G37" s="22" t="n">
        <x:v>423</x:v>
      </x:c>
      <x:c r="H37" s="22" t="n">
        <x:v>17</x:v>
      </x:c>
      <x:c r="I37" s="23" t="n">
        <x:f>G37-H37</x:f>
        <x:v>406</x:v>
      </x:c>
      <x:c r="J37" s="20" t="n">
        <x:f>IFERROR(G37/F37,0)</x:f>
        <x:v>0.88125</x:v>
      </x:c>
      <x:c r="K37" s="20" t="n">
        <x:f>IFERROR(H37/G37,0)</x:f>
        <x:v>0.04018912529550828</x:v>
      </x:c>
      <x:c r="L37" s="26" t="n">
        <x:f>G37-F37</x:f>
        <x:v>-57</x:v>
      </x:c>
      <x:c r="M37" s="16" t="str">
        <x:f>IF(J37&gt;=100%,"달성","미달")</x:f>
        <x:v>미달</x:v>
      </x:c>
      <x:c r="N37" s="16" t="str">
        <x:f>IF(K37&lt;=3%,"정상","주의")</x:f>
        <x:v>주의</x:v>
      </x:c>
      <x:c r="O37" t="str"/>
    </x:row>
    <x:row r="38" ht="21" customHeight="1">
      <x:c r="A38" s="18" t="n">
        <x:v>46276</x:v>
      </x:c>
      <x:c r="B38" t="str">
        <x:v>C라인</x:v>
      </x:c>
      <x:c r="C38" t="str">
        <x:v>PR-102</x:v>
      </x:c>
      <x:c r="D38" t="str">
        <x:v>플라스틱 용기 1L</x:v>
      </x:c>
      <x:c r="E38" t="str">
        <x:v>주간</x:v>
      </x:c>
      <x:c r="F38" s="22" t="n">
        <x:v>450</x:v>
      </x:c>
      <x:c r="G38" s="22" t="n">
        <x:v>493</x:v>
      </x:c>
      <x:c r="H38" s="22" t="n">
        <x:v>21</x:v>
      </x:c>
      <x:c r="I38" s="23" t="n">
        <x:f>G38-H38</x:f>
        <x:v>472</x:v>
      </x:c>
      <x:c r="J38" s="20" t="n">
        <x:f>IFERROR(G38/F38,0)</x:f>
        <x:v>1.0955555555555556</x:v>
      </x:c>
      <x:c r="K38" s="20" t="n">
        <x:f>IFERROR(H38/G38,0)</x:f>
        <x:v>0.04259634888438134</x:v>
      </x:c>
      <x:c r="L38" s="26" t="n">
        <x:f>G38-F38</x:f>
        <x:v>43</x:v>
      </x:c>
      <x:c r="M38" s="16" t="str">
        <x:f>IF(J38&gt;=100%,"달성","미달")</x:f>
        <x:v>달성</x:v>
      </x:c>
      <x:c r="N38" s="16" t="str">
        <x:f>IF(K38&lt;=3%,"정상","주의")</x:f>
        <x:v>주의</x:v>
      </x:c>
      <x:c r="O38" t="str"/>
    </x:row>
    <x:row r="39" ht="21" customHeight="1">
      <x:c r="A39" s="18" t="n">
        <x:v>46277</x:v>
      </x:c>
      <x:c r="B39" t="str">
        <x:v>A라인</x:v>
      </x:c>
      <x:c r="C39" t="str">
        <x:v>PR-101</x:v>
      </x:c>
      <x:c r="D39" t="str">
        <x:v>플라스틱 용기 500ml</x:v>
      </x:c>
      <x:c r="E39" t="str">
        <x:v>야간</x:v>
      </x:c>
      <x:c r="F39" s="22" t="n">
        <x:v>520</x:v>
      </x:c>
      <x:c r="G39" s="22" t="n">
        <x:v>456</x:v>
      </x:c>
      <x:c r="H39" s="22" t="n">
        <x:v>16</x:v>
      </x:c>
      <x:c r="I39" s="23" t="n">
        <x:f>G39-H39</x:f>
        <x:v>440</x:v>
      </x:c>
      <x:c r="J39" s="20" t="n">
        <x:f>IFERROR(G39/F39,0)</x:f>
        <x:v>0.8769230769230769</x:v>
      </x:c>
      <x:c r="K39" s="20" t="n">
        <x:f>IFERROR(H39/G39,0)</x:f>
        <x:v>0.03508771929824561</x:v>
      </x:c>
      <x:c r="L39" s="26" t="n">
        <x:f>G39-F39</x:f>
        <x:v>-64</x:v>
      </x:c>
      <x:c r="M39" s="16" t="str">
        <x:f>IF(J39&gt;=100%,"달성","미달")</x:f>
        <x:v>미달</x:v>
      </x:c>
      <x:c r="N39" s="16" t="str">
        <x:f>IF(K39&lt;=3%,"정상","주의")</x:f>
        <x:v>주의</x:v>
      </x:c>
      <x:c r="O39" t="str"/>
    </x:row>
    <x:row r="40" ht="21" customHeight="1">
      <x:c r="A40" s="18" t="n">
        <x:v>46277</x:v>
      </x:c>
      <x:c r="B40" t="str">
        <x:v>B라인</x:v>
      </x:c>
      <x:c r="C40" t="str">
        <x:v>PR-102</x:v>
      </x:c>
      <x:c r="D40" t="str">
        <x:v>플라스틱 용기 1L</x:v>
      </x:c>
      <x:c r="E40" t="str">
        <x:v>야간</x:v>
      </x:c>
      <x:c r="F40" s="22" t="n">
        <x:v>480</x:v>
      </x:c>
      <x:c r="G40" s="22" t="n">
        <x:v>499</x:v>
      </x:c>
      <x:c r="H40" s="22" t="n">
        <x:v>13</x:v>
      </x:c>
      <x:c r="I40" s="23" t="n">
        <x:f>G40-H40</x:f>
        <x:v>486</x:v>
      </x:c>
      <x:c r="J40" s="20" t="n">
        <x:f>IFERROR(G40/F40,0)</x:f>
        <x:v>1.0395833333333333</x:v>
      </x:c>
      <x:c r="K40" s="20" t="n">
        <x:f>IFERROR(H40/G40,0)</x:f>
        <x:v>0.026052104208416832</x:v>
      </x:c>
      <x:c r="L40" s="26" t="n">
        <x:f>G40-F40</x:f>
        <x:v>19</x:v>
      </x:c>
      <x:c r="M40" s="16" t="str">
        <x:f>IF(J40&gt;=100%,"달성","미달")</x:f>
        <x:v>달성</x:v>
      </x:c>
      <x:c r="N40" s="16" t="str">
        <x:f>IF(K40&lt;=3%,"정상","주의")</x:f>
        <x:v>정상</x:v>
      </x:c>
      <x:c r="O40" t="str"/>
    </x:row>
    <x:row r="41" ht="21" customHeight="1">
      <x:c r="A41" s="18" t="n">
        <x:v>46277</x:v>
      </x:c>
      <x:c r="B41" t="str">
        <x:v>C라인</x:v>
      </x:c>
      <x:c r="C41" t="str">
        <x:v>PR-201</x:v>
      </x:c>
      <x:c r="D41" t="str">
        <x:v>캡 부품 A형</x:v>
      </x:c>
      <x:c r="E41" t="str">
        <x:v>야간</x:v>
      </x:c>
      <x:c r="F41" s="22" t="n">
        <x:v>450</x:v>
      </x:c>
      <x:c r="G41" s="22" t="n">
        <x:v>483</x:v>
      </x:c>
      <x:c r="H41" s="22" t="n">
        <x:v>20</x:v>
      </x:c>
      <x:c r="I41" s="23" t="n">
        <x:f>G41-H41</x:f>
        <x:v>463</x:v>
      </x:c>
      <x:c r="J41" s="20" t="n">
        <x:f>IFERROR(G41/F41,0)</x:f>
        <x:v>1.0733333333333333</x:v>
      </x:c>
      <x:c r="K41" s="20" t="n">
        <x:f>IFERROR(H41/G41,0)</x:f>
        <x:v>0.041407867494824016</x:v>
      </x:c>
      <x:c r="L41" s="26" t="n">
        <x:f>G41-F41</x:f>
        <x:v>33</x:v>
      </x:c>
      <x:c r="M41" s="16" t="str">
        <x:f>IF(J41&gt;=100%,"달성","미달")</x:f>
        <x:v>달성</x:v>
      </x:c>
      <x:c r="N41" s="16" t="str">
        <x:f>IF(K41&lt;=3%,"정상","주의")</x:f>
        <x:v>주의</x:v>
      </x:c>
      <x:c r="O41" t="str"/>
    </x:row>
    <x:row r="42" ht="21" customHeight="1">
      <x:c r="A42" s="18" t="n">
        <x:v>46278</x:v>
      </x:c>
      <x:c r="B42" t="str">
        <x:v>A라인</x:v>
      </x:c>
      <x:c r="C42" t="str">
        <x:v>PR-102</x:v>
      </x:c>
      <x:c r="D42" t="str">
        <x:v>플라스틱 용기 1L</x:v>
      </x:c>
      <x:c r="E42" t="str">
        <x:v>주간</x:v>
      </x:c>
      <x:c r="F42" s="22" t="n">
        <x:v>520</x:v>
      </x:c>
      <x:c r="G42" s="22" t="n">
        <x:v>461</x:v>
      </x:c>
      <x:c r="H42" s="22" t="n">
        <x:v>15</x:v>
      </x:c>
      <x:c r="I42" s="23" t="n">
        <x:f>G42-H42</x:f>
        <x:v>446</x:v>
      </x:c>
      <x:c r="J42" s="20" t="n">
        <x:f>IFERROR(G42/F42,0)</x:f>
        <x:v>0.8865384615384615</x:v>
      </x:c>
      <x:c r="K42" s="20" t="n">
        <x:f>IFERROR(H42/G42,0)</x:f>
        <x:v>0.03253796095444685</x:v>
      </x:c>
      <x:c r="L42" s="26" t="n">
        <x:f>G42-F42</x:f>
        <x:v>-59</x:v>
      </x:c>
      <x:c r="M42" s="16" t="str">
        <x:f>IF(J42&gt;=100%,"달성","미달")</x:f>
        <x:v>미달</x:v>
      </x:c>
      <x:c r="N42" s="16" t="str">
        <x:f>IF(K42&lt;=3%,"정상","주의")</x:f>
        <x:v>주의</x:v>
      </x:c>
      <x:c r="O42" t="str"/>
    </x:row>
    <x:row r="43" ht="21" customHeight="1">
      <x:c r="A43" s="18" t="n">
        <x:v>46278</x:v>
      </x:c>
      <x:c r="B43" t="str">
        <x:v>B라인</x:v>
      </x:c>
      <x:c r="C43" t="str">
        <x:v>PR-201</x:v>
      </x:c>
      <x:c r="D43" t="str">
        <x:v>캡 부품 A형</x:v>
      </x:c>
      <x:c r="E43" t="str">
        <x:v>주간</x:v>
      </x:c>
      <x:c r="F43" s="22" t="n">
        <x:v>480</x:v>
      </x:c>
      <x:c r="G43" s="22" t="n">
        <x:v>506</x:v>
      </x:c>
      <x:c r="H43" s="22" t="n">
        <x:v>34</x:v>
      </x:c>
      <x:c r="I43" s="23" t="n">
        <x:f>G43-H43</x:f>
        <x:v>472</x:v>
      </x:c>
      <x:c r="J43" s="20" t="n">
        <x:f>IFERROR(G43/F43,0)</x:f>
        <x:v>1.0541666666666667</x:v>
      </x:c>
      <x:c r="K43" s="20" t="n">
        <x:f>IFERROR(H43/G43,0)</x:f>
        <x:v>0.06719367588932806</x:v>
      </x:c>
      <x:c r="L43" s="26" t="n">
        <x:f>G43-F43</x:f>
        <x:v>26</x:v>
      </x:c>
      <x:c r="M43" s="16" t="str">
        <x:f>IF(J43&gt;=100%,"달성","미달")</x:f>
        <x:v>달성</x:v>
      </x:c>
      <x:c r="N43" s="16" t="str">
        <x:f>IF(K43&lt;=3%,"정상","주의")</x:f>
        <x:v>주의</x:v>
      </x:c>
      <x:c r="O43" t="str">
        <x:v>설비점검</x:v>
      </x:c>
    </x:row>
    <x:row r="44" ht="21" customHeight="1">
      <x:c r="A44" s="18" t="n">
        <x:v>46278</x:v>
      </x:c>
      <x:c r="B44" t="str">
        <x:v>C라인</x:v>
      </x:c>
      <x:c r="C44" t="str">
        <x:v>PR-202</x:v>
      </x:c>
      <x:c r="D44" t="str">
        <x:v>캡 부품 B형</x:v>
      </x:c>
      <x:c r="E44" t="str">
        <x:v>주간</x:v>
      </x:c>
      <x:c r="F44" s="22" t="n">
        <x:v>450</x:v>
      </x:c>
      <x:c r="G44" s="22" t="n">
        <x:v>499</x:v>
      </x:c>
      <x:c r="H44" s="22" t="n">
        <x:v>9</x:v>
      </x:c>
      <x:c r="I44" s="23" t="n">
        <x:f>G44-H44</x:f>
        <x:v>490</x:v>
      </x:c>
      <x:c r="J44" s="20" t="n">
        <x:f>IFERROR(G44/F44,0)</x:f>
        <x:v>1.1088888888888888</x:v>
      </x:c>
      <x:c r="K44" s="20" t="n">
        <x:f>IFERROR(H44/G44,0)</x:f>
        <x:v>0.018036072144288578</x:v>
      </x:c>
      <x:c r="L44" s="26" t="n">
        <x:f>G44-F44</x:f>
        <x:v>49</x:v>
      </x:c>
      <x:c r="M44" s="16" t="str">
        <x:f>IF(J44&gt;=100%,"달성","미달")</x:f>
        <x:v>달성</x:v>
      </x:c>
      <x:c r="N44" s="16" t="str">
        <x:f>IF(K44&lt;=3%,"정상","주의")</x:f>
        <x:v>정상</x:v>
      </x:c>
      <x:c r="O44" t="str"/>
    </x:row>
    <x:row r="45" ht="21" customHeight="1">
      <x:c r="A45" s="18" t="n">
        <x:v>46279</x:v>
      </x:c>
      <x:c r="B45" t="str">
        <x:v>A라인</x:v>
      </x:c>
      <x:c r="C45" t="str">
        <x:v>PR-201</x:v>
      </x:c>
      <x:c r="D45" t="str">
        <x:v>캡 부품 A형</x:v>
      </x:c>
      <x:c r="E45" t="str">
        <x:v>야간</x:v>
      </x:c>
      <x:c r="F45" s="22" t="n">
        <x:v>520</x:v>
      </x:c>
      <x:c r="G45" s="22" t="n">
        <x:v>532</x:v>
      </x:c>
      <x:c r="H45" s="22" t="n">
        <x:v>18</x:v>
      </x:c>
      <x:c r="I45" s="23" t="n">
        <x:f>G45-H45</x:f>
        <x:v>514</x:v>
      </x:c>
      <x:c r="J45" s="20" t="n">
        <x:f>IFERROR(G45/F45,0)</x:f>
        <x:v>1.023076923076923</x:v>
      </x:c>
      <x:c r="K45" s="20" t="n">
        <x:f>IFERROR(H45/G45,0)</x:f>
        <x:v>0.03383458646616541</x:v>
      </x:c>
      <x:c r="L45" s="26" t="n">
        <x:f>G45-F45</x:f>
        <x:v>12</x:v>
      </x:c>
      <x:c r="M45" s="16" t="str">
        <x:f>IF(J45&gt;=100%,"달성","미달")</x:f>
        <x:v>달성</x:v>
      </x:c>
      <x:c r="N45" s="16" t="str">
        <x:f>IF(K45&lt;=3%,"정상","주의")</x:f>
        <x:v>주의</x:v>
      </x:c>
      <x:c r="O45" t="str"/>
    </x:row>
    <x:row r="46" ht="21" customHeight="1">
      <x:c r="A46" s="18" t="n">
        <x:v>46279</x:v>
      </x:c>
      <x:c r="B46" t="str">
        <x:v>B라인</x:v>
      </x:c>
      <x:c r="C46" t="str">
        <x:v>PR-202</x:v>
      </x:c>
      <x:c r="D46" t="str">
        <x:v>캡 부품 B형</x:v>
      </x:c>
      <x:c r="E46" t="str">
        <x:v>야간</x:v>
      </x:c>
      <x:c r="F46" s="22" t="n">
        <x:v>480</x:v>
      </x:c>
      <x:c r="G46" s="22" t="n">
        <x:v>468</x:v>
      </x:c>
      <x:c r="H46" s="22" t="n">
        <x:v>13</x:v>
      </x:c>
      <x:c r="I46" s="23" t="n">
        <x:f>G46-H46</x:f>
        <x:v>455</x:v>
      </x:c>
      <x:c r="J46" s="20" t="n">
        <x:f>IFERROR(G46/F46,0)</x:f>
        <x:v>0.975</x:v>
      </x:c>
      <x:c r="K46" s="20" t="n">
        <x:f>IFERROR(H46/G46,0)</x:f>
        <x:v>0.027777777777777776</x:v>
      </x:c>
      <x:c r="L46" s="26" t="n">
        <x:f>G46-F46</x:f>
        <x:v>-12</x:v>
      </x:c>
      <x:c r="M46" s="16" t="str">
        <x:f>IF(J46&gt;=100%,"달성","미달")</x:f>
        <x:v>미달</x:v>
      </x:c>
      <x:c r="N46" s="16" t="str">
        <x:f>IF(K46&lt;=3%,"정상","주의")</x:f>
        <x:v>정상</x:v>
      </x:c>
      <x:c r="O46" t="str"/>
    </x:row>
    <x:row r="47" ht="21" customHeight="1">
      <x:c r="A47" s="18" t="n">
        <x:v>46279</x:v>
      </x:c>
      <x:c r="B47" t="str">
        <x:v>C라인</x:v>
      </x:c>
      <x:c r="C47" t="str">
        <x:v>PR-101</x:v>
      </x:c>
      <x:c r="D47" t="str">
        <x:v>플라스틱 용기 500ml</x:v>
      </x:c>
      <x:c r="E47" t="str">
        <x:v>야간</x:v>
      </x:c>
      <x:c r="F47" s="22" t="n">
        <x:v>450</x:v>
      </x:c>
      <x:c r="G47" s="22" t="n">
        <x:v>525</x:v>
      </x:c>
      <x:c r="H47" s="22" t="n">
        <x:v>14</x:v>
      </x:c>
      <x:c r="I47" s="23" t="n">
        <x:f>G47-H47</x:f>
        <x:v>511</x:v>
      </x:c>
      <x:c r="J47" s="20" t="n">
        <x:f>IFERROR(G47/F47,0)</x:f>
        <x:v>1.1666666666666667</x:v>
      </x:c>
      <x:c r="K47" s="20" t="n">
        <x:f>IFERROR(H47/G47,0)</x:f>
        <x:v>0.02666666666666667</x:v>
      </x:c>
      <x:c r="L47" s="26" t="n">
        <x:f>G47-F47</x:f>
        <x:v>75</x:v>
      </x:c>
      <x:c r="M47" s="16" t="str">
        <x:f>IF(J47&gt;=100%,"달성","미달")</x:f>
        <x:v>달성</x:v>
      </x:c>
      <x:c r="N47" s="16" t="str">
        <x:f>IF(K47&lt;=3%,"정상","주의")</x:f>
        <x:v>정상</x:v>
      </x:c>
      <x:c r="O47" t="str"/>
    </x:row>
    <x:row r="48" ht="21" customHeight="1">
      <x:c r="A48" s="18" t="n">
        <x:v>46280</x:v>
      </x:c>
      <x:c r="B48" t="str">
        <x:v>A라인</x:v>
      </x:c>
      <x:c r="C48" t="str">
        <x:v>PR-202</x:v>
      </x:c>
      <x:c r="D48" t="str">
        <x:v>캡 부품 B형</x:v>
      </x:c>
      <x:c r="E48" t="str">
        <x:v>주간</x:v>
      </x:c>
      <x:c r="F48" s="22" t="n">
        <x:v>520</x:v>
      </x:c>
      <x:c r="G48" s="22" t="n">
        <x:v>552</x:v>
      </x:c>
      <x:c r="H48" s="22" t="n">
        <x:v>21</x:v>
      </x:c>
      <x:c r="I48" s="23" t="n">
        <x:f>G48-H48</x:f>
        <x:v>531</x:v>
      </x:c>
      <x:c r="J48" s="20" t="n">
        <x:f>IFERROR(G48/F48,0)</x:f>
        <x:v>1.0615384615384615</x:v>
      </x:c>
      <x:c r="K48" s="20" t="n">
        <x:f>IFERROR(H48/G48,0)</x:f>
        <x:v>0.03804347826086957</x:v>
      </x:c>
      <x:c r="L48" s="26" t="n">
        <x:f>G48-F48</x:f>
        <x:v>32</x:v>
      </x:c>
      <x:c r="M48" s="16" t="str">
        <x:f>IF(J48&gt;=100%,"달성","미달")</x:f>
        <x:v>달성</x:v>
      </x:c>
      <x:c r="N48" s="16" t="str">
        <x:f>IF(K48&lt;=3%,"정상","주의")</x:f>
        <x:v>주의</x:v>
      </x:c>
      <x:c r="O48" t="str"/>
    </x:row>
    <x:row r="49" ht="21" customHeight="1">
      <x:c r="A49" s="18" t="n">
        <x:v>46280</x:v>
      </x:c>
      <x:c r="B49" t="str">
        <x:v>B라인</x:v>
      </x:c>
      <x:c r="C49" t="str">
        <x:v>PR-101</x:v>
      </x:c>
      <x:c r="D49" t="str">
        <x:v>플라스틱 용기 500ml</x:v>
      </x:c>
      <x:c r="E49" t="str">
        <x:v>주간</x:v>
      </x:c>
      <x:c r="F49" s="22" t="n">
        <x:v>480</x:v>
      </x:c>
      <x:c r="G49" s="22" t="n">
        <x:v>492</x:v>
      </x:c>
      <x:c r="H49" s="22" t="n">
        <x:v>12</x:v>
      </x:c>
      <x:c r="I49" s="23" t="n">
        <x:f>G49-H49</x:f>
        <x:v>480</x:v>
      </x:c>
      <x:c r="J49" s="20" t="n">
        <x:f>IFERROR(G49/F49,0)</x:f>
        <x:v>1.025</x:v>
      </x:c>
      <x:c r="K49" s="20" t="n">
        <x:f>IFERROR(H49/G49,0)</x:f>
        <x:v>0.024390243902439025</x:v>
      </x:c>
      <x:c r="L49" s="26" t="n">
        <x:f>G49-F49</x:f>
        <x:v>12</x:v>
      </x:c>
      <x:c r="M49" s="16" t="str">
        <x:f>IF(J49&gt;=100%,"달성","미달")</x:f>
        <x:v>달성</x:v>
      </x:c>
      <x:c r="N49" s="16" t="str">
        <x:f>IF(K49&lt;=3%,"정상","주의")</x:f>
        <x:v>정상</x:v>
      </x:c>
      <x:c r="O49" t="str"/>
    </x:row>
    <x:row r="50" ht="21" customHeight="1">
      <x:c r="A50" s="18" t="n">
        <x:v>46280</x:v>
      </x:c>
      <x:c r="B50" t="str">
        <x:v>C라인</x:v>
      </x:c>
      <x:c r="C50" t="str">
        <x:v>PR-102</x:v>
      </x:c>
      <x:c r="D50" t="str">
        <x:v>플라스틱 용기 1L</x:v>
      </x:c>
      <x:c r="E50" t="str">
        <x:v>주간</x:v>
      </x:c>
      <x:c r="F50" s="22" t="n">
        <x:v>450</x:v>
      </x:c>
      <x:c r="G50" s="22" t="n">
        <x:v>435</x:v>
      </x:c>
      <x:c r="H50" s="22" t="n">
        <x:v>17</x:v>
      </x:c>
      <x:c r="I50" s="23" t="n">
        <x:f>G50-H50</x:f>
        <x:v>418</x:v>
      </x:c>
      <x:c r="J50" s="20" t="n">
        <x:f>IFERROR(G50/F50,0)</x:f>
        <x:v>0.9666666666666667</x:v>
      </x:c>
      <x:c r="K50" s="20" t="n">
        <x:f>IFERROR(H50/G50,0)</x:f>
        <x:v>0.03908045977011494</x:v>
      </x:c>
      <x:c r="L50" s="26" t="n">
        <x:f>G50-F50</x:f>
        <x:v>-15</x:v>
      </x:c>
      <x:c r="M50" s="16" t="str">
        <x:f>IF(J50&gt;=100%,"달성","미달")</x:f>
        <x:v>미달</x:v>
      </x:c>
      <x:c r="N50" s="16" t="str">
        <x:f>IF(K50&lt;=3%,"정상","주의")</x:f>
        <x:v>주의</x:v>
      </x:c>
      <x:c r="O50" t="str"/>
    </x:row>
    <x:row r="51" ht="21" customHeight="1">
      <x:c r="A51" s="18" t="n">
        <x:v>46281</x:v>
      </x:c>
      <x:c r="B51" t="str">
        <x:v>A라인</x:v>
      </x:c>
      <x:c r="C51" t="str">
        <x:v>PR-101</x:v>
      </x:c>
      <x:c r="D51" t="str">
        <x:v>플라스틱 용기 500ml</x:v>
      </x:c>
      <x:c r="E51" t="str">
        <x:v>야간</x:v>
      </x:c>
      <x:c r="F51" s="22" t="n">
        <x:v>520</x:v>
      </x:c>
      <x:c r="G51" s="22" t="n">
        <x:v>432</x:v>
      </x:c>
      <x:c r="H51" s="22" t="n">
        <x:v>4</x:v>
      </x:c>
      <x:c r="I51" s="23" t="n">
        <x:f>G51-H51</x:f>
        <x:v>428</x:v>
      </x:c>
      <x:c r="J51" s="20" t="n">
        <x:f>IFERROR(G51/F51,0)</x:f>
        <x:v>0.8307692307692308</x:v>
      </x:c>
      <x:c r="K51" s="20" t="n">
        <x:f>IFERROR(H51/G51,0)</x:f>
        <x:v>0.009259259259259259</x:v>
      </x:c>
      <x:c r="L51" s="26" t="n">
        <x:f>G51-F51</x:f>
        <x:v>-88</x:v>
      </x:c>
      <x:c r="M51" s="16" t="str">
        <x:f>IF(J51&gt;=100%,"달성","미달")</x:f>
        <x:v>미달</x:v>
      </x:c>
      <x:c r="N51" s="16" t="str">
        <x:f>IF(K51&lt;=3%,"정상","주의")</x:f>
        <x:v>정상</x:v>
      </x:c>
      <x:c r="O51" t="str"/>
    </x:row>
    <x:row r="52" ht="21" customHeight="1">
      <x:c r="A52" s="18" t="n">
        <x:v>46281</x:v>
      </x:c>
      <x:c r="B52" t="str">
        <x:v>B라인</x:v>
      </x:c>
      <x:c r="C52" t="str">
        <x:v>PR-102</x:v>
      </x:c>
      <x:c r="D52" t="str">
        <x:v>플라스틱 용기 1L</x:v>
      </x:c>
      <x:c r="E52" t="str">
        <x:v>야간</x:v>
      </x:c>
      <x:c r="F52" s="22" t="n">
        <x:v>480</x:v>
      </x:c>
      <x:c r="G52" s="22" t="n">
        <x:v>542</x:v>
      </x:c>
      <x:c r="H52" s="22" t="n">
        <x:v>24</x:v>
      </x:c>
      <x:c r="I52" s="23" t="n">
        <x:f>G52-H52</x:f>
        <x:v>518</x:v>
      </x:c>
      <x:c r="J52" s="20" t="n">
        <x:f>IFERROR(G52/F52,0)</x:f>
        <x:v>1.1291666666666667</x:v>
      </x:c>
      <x:c r="K52" s="20" t="n">
        <x:f>IFERROR(H52/G52,0)</x:f>
        <x:v>0.04428044280442804</x:v>
      </x:c>
      <x:c r="L52" s="26" t="n">
        <x:f>G52-F52</x:f>
        <x:v>62</x:v>
      </x:c>
      <x:c r="M52" s="16" t="str">
        <x:f>IF(J52&gt;=100%,"달성","미달")</x:f>
        <x:v>달성</x:v>
      </x:c>
      <x:c r="N52" s="16" t="str">
        <x:f>IF(K52&lt;=3%,"정상","주의")</x:f>
        <x:v>주의</x:v>
      </x:c>
      <x:c r="O52" t="str"/>
    </x:row>
    <x:row r="53" ht="21" customHeight="1">
      <x:c r="A53" s="18" t="n">
        <x:v>46281</x:v>
      </x:c>
      <x:c r="B53" t="str">
        <x:v>C라인</x:v>
      </x:c>
      <x:c r="C53" t="str">
        <x:v>PR-201</x:v>
      </x:c>
      <x:c r="D53" t="str">
        <x:v>캡 부품 A형</x:v>
      </x:c>
      <x:c r="E53" t="str">
        <x:v>야간</x:v>
      </x:c>
      <x:c r="F53" s="22" t="n">
        <x:v>450</x:v>
      </x:c>
      <x:c r="G53" s="22" t="n">
        <x:v>493</x:v>
      </x:c>
      <x:c r="H53" s="22" t="n">
        <x:v>21</x:v>
      </x:c>
      <x:c r="I53" s="23" t="n">
        <x:f>G53-H53</x:f>
        <x:v>472</x:v>
      </x:c>
      <x:c r="J53" s="20" t="n">
        <x:f>IFERROR(G53/F53,0)</x:f>
        <x:v>1.0955555555555556</x:v>
      </x:c>
      <x:c r="K53" s="20" t="n">
        <x:f>IFERROR(H53/G53,0)</x:f>
        <x:v>0.04259634888438134</x:v>
      </x:c>
      <x:c r="L53" s="26" t="n">
        <x:f>G53-F53</x:f>
        <x:v>43</x:v>
      </x:c>
      <x:c r="M53" s="16" t="str">
        <x:f>IF(J53&gt;=100%,"달성","미달")</x:f>
        <x:v>달성</x:v>
      </x:c>
      <x:c r="N53" s="16" t="str">
        <x:f>IF(K53&lt;=3%,"정상","주의")</x:f>
        <x:v>주의</x:v>
      </x:c>
      <x:c r="O53" t="str"/>
    </x:row>
    <x:row r="54" ht="21" customHeight="1">
      <x:c r="A54" s="18" t="n">
        <x:v>46282</x:v>
      </x:c>
      <x:c r="B54" t="str">
        <x:v>A라인</x:v>
      </x:c>
      <x:c r="C54" t="str">
        <x:v>PR-102</x:v>
      </x:c>
      <x:c r="D54" t="str">
        <x:v>플라스틱 용기 1L</x:v>
      </x:c>
      <x:c r="E54" t="str">
        <x:v>주간</x:v>
      </x:c>
      <x:c r="F54" s="22" t="n">
        <x:v>520</x:v>
      </x:c>
      <x:c r="G54" s="22" t="n">
        <x:v>522</x:v>
      </x:c>
      <x:c r="H54" s="22" t="n">
        <x:v>22</x:v>
      </x:c>
      <x:c r="I54" s="23" t="n">
        <x:f>G54-H54</x:f>
        <x:v>500</x:v>
      </x:c>
      <x:c r="J54" s="20" t="n">
        <x:f>IFERROR(G54/F54,0)</x:f>
        <x:v>1.0038461538461538</x:v>
      </x:c>
      <x:c r="K54" s="20" t="n">
        <x:f>IFERROR(H54/G54,0)</x:f>
        <x:v>0.0421455938697318</x:v>
      </x:c>
      <x:c r="L54" s="26" t="n">
        <x:f>G54-F54</x:f>
        <x:v>2</x:v>
      </x:c>
      <x:c r="M54" s="16" t="str">
        <x:f>IF(J54&gt;=100%,"달성","미달")</x:f>
        <x:v>달성</x:v>
      </x:c>
      <x:c r="N54" s="16" t="str">
        <x:f>IF(K54&lt;=3%,"정상","주의")</x:f>
        <x:v>주의</x:v>
      </x:c>
      <x:c r="O54" t="str"/>
    </x:row>
    <x:row r="55" ht="21" customHeight="1">
      <x:c r="A55" s="18" t="n">
        <x:v>46282</x:v>
      </x:c>
      <x:c r="B55" t="str">
        <x:v>B라인</x:v>
      </x:c>
      <x:c r="C55" t="str">
        <x:v>PR-201</x:v>
      </x:c>
      <x:c r="D55" t="str">
        <x:v>캡 부품 A형</x:v>
      </x:c>
      <x:c r="E55" t="str">
        <x:v>주간</x:v>
      </x:c>
      <x:c r="F55" s="22" t="n">
        <x:v>480</x:v>
      </x:c>
      <x:c r="G55" s="22" t="n">
        <x:v>456</x:v>
      </x:c>
      <x:c r="H55" s="22" t="n">
        <x:v>31</x:v>
      </x:c>
      <x:c r="I55" s="23" t="n">
        <x:f>G55-H55</x:f>
        <x:v>425</x:v>
      </x:c>
      <x:c r="J55" s="20" t="n">
        <x:f>IFERROR(G55/F55,0)</x:f>
        <x:v>0.95</x:v>
      </x:c>
      <x:c r="K55" s="20" t="n">
        <x:f>IFERROR(H55/G55,0)</x:f>
        <x:v>0.06798245614035088</x:v>
      </x:c>
      <x:c r="L55" s="26" t="n">
        <x:f>G55-F55</x:f>
        <x:v>-24</x:v>
      </x:c>
      <x:c r="M55" s="16" t="str">
        <x:f>IF(J55&gt;=100%,"달성","미달")</x:f>
        <x:v>미달</x:v>
      </x:c>
      <x:c r="N55" s="16" t="str">
        <x:f>IF(K55&lt;=3%,"정상","주의")</x:f>
        <x:v>주의</x:v>
      </x:c>
      <x:c r="O55" t="str"/>
    </x:row>
    <x:row r="56" ht="21" customHeight="1">
      <x:c r="A56" s="18" t="n">
        <x:v>46282</x:v>
      </x:c>
      <x:c r="B56" t="str">
        <x:v>C라인</x:v>
      </x:c>
      <x:c r="C56" t="str">
        <x:v>PR-202</x:v>
      </x:c>
      <x:c r="D56" t="str">
        <x:v>캡 부품 B형</x:v>
      </x:c>
      <x:c r="E56" t="str">
        <x:v>주간</x:v>
      </x:c>
      <x:c r="F56" s="22" t="n">
        <x:v>450</x:v>
      </x:c>
      <x:c r="G56" s="22" t="n">
        <x:v>479</x:v>
      </x:c>
      <x:c r="H56" s="22" t="n">
        <x:v>13</x:v>
      </x:c>
      <x:c r="I56" s="23" t="n">
        <x:f>G56-H56</x:f>
        <x:v>466</x:v>
      </x:c>
      <x:c r="J56" s="20" t="n">
        <x:f>IFERROR(G56/F56,0)</x:f>
        <x:v>1.0644444444444445</x:v>
      </x:c>
      <x:c r="K56" s="20" t="n">
        <x:f>IFERROR(H56/G56,0)</x:f>
        <x:v>0.027139874739039668</x:v>
      </x:c>
      <x:c r="L56" s="26" t="n">
        <x:f>G56-F56</x:f>
        <x:v>29</x:v>
      </x:c>
      <x:c r="M56" s="16" t="str">
        <x:f>IF(J56&gt;=100%,"달성","미달")</x:f>
        <x:v>달성</x:v>
      </x:c>
      <x:c r="N56" s="16" t="str">
        <x:f>IF(K56&lt;=3%,"정상","주의")</x:f>
        <x:v>정상</x:v>
      </x:c>
      <x:c r="O56" t="str"/>
    </x:row>
    <x:row r="57" ht="21" customHeight="1">
      <x:c r="A57" s="18" t="n">
        <x:v>46283</x:v>
      </x:c>
      <x:c r="B57" t="str">
        <x:v>A라인</x:v>
      </x:c>
      <x:c r="C57" t="str">
        <x:v>PR-201</x:v>
      </x:c>
      <x:c r="D57" t="str">
        <x:v>캡 부품 A형</x:v>
      </x:c>
      <x:c r="E57" t="str">
        <x:v>야간</x:v>
      </x:c>
      <x:c r="F57" s="22" t="n">
        <x:v>520</x:v>
      </x:c>
      <x:c r="G57" s="22" t="n">
        <x:v>557</x:v>
      </x:c>
      <x:c r="H57" s="22" t="n">
        <x:v>22</x:v>
      </x:c>
      <x:c r="I57" s="23" t="n">
        <x:f>G57-H57</x:f>
        <x:v>535</x:v>
      </x:c>
      <x:c r="J57" s="20" t="n">
        <x:f>IFERROR(G57/F57,0)</x:f>
        <x:v>1.0711538461538461</x:v>
      </x:c>
      <x:c r="K57" s="20" t="n">
        <x:f>IFERROR(H57/G57,0)</x:f>
        <x:v>0.03949730700179533</x:v>
      </x:c>
      <x:c r="L57" s="26" t="n">
        <x:f>G57-F57</x:f>
        <x:v>37</x:v>
      </x:c>
      <x:c r="M57" s="16" t="str">
        <x:f>IF(J57&gt;=100%,"달성","미달")</x:f>
        <x:v>달성</x:v>
      </x:c>
      <x:c r="N57" s="16" t="str">
        <x:f>IF(K57&lt;=3%,"정상","주의")</x:f>
        <x:v>주의</x:v>
      </x:c>
      <x:c r="O57" t="str"/>
    </x:row>
    <x:row r="58" ht="21" customHeight="1">
      <x:c r="A58" s="18" t="n">
        <x:v>46283</x:v>
      </x:c>
      <x:c r="B58" t="str">
        <x:v>B라인</x:v>
      </x:c>
      <x:c r="C58" t="str">
        <x:v>PR-202</x:v>
      </x:c>
      <x:c r="D58" t="str">
        <x:v>캡 부품 B형</x:v>
      </x:c>
      <x:c r="E58" t="str">
        <x:v>야간</x:v>
      </x:c>
      <x:c r="F58" s="22" t="n">
        <x:v>480</x:v>
      </x:c>
      <x:c r="G58" s="22" t="n">
        <x:v>532</x:v>
      </x:c>
      <x:c r="H58" s="22" t="n">
        <x:v>18</x:v>
      </x:c>
      <x:c r="I58" s="23" t="n">
        <x:f>G58-H58</x:f>
        <x:v>514</x:v>
      </x:c>
      <x:c r="J58" s="20" t="n">
        <x:f>IFERROR(G58/F58,0)</x:f>
        <x:v>1.1083333333333334</x:v>
      </x:c>
      <x:c r="K58" s="20" t="n">
        <x:f>IFERROR(H58/G58,0)</x:f>
        <x:v>0.03383458646616541</x:v>
      </x:c>
      <x:c r="L58" s="26" t="n">
        <x:f>G58-F58</x:f>
        <x:v>52</x:v>
      </x:c>
      <x:c r="M58" s="16" t="str">
        <x:f>IF(J58&gt;=100%,"달성","미달")</x:f>
        <x:v>달성</x:v>
      </x:c>
      <x:c r="N58" s="16" t="str">
        <x:f>IF(K58&lt;=3%,"정상","주의")</x:f>
        <x:v>주의</x:v>
      </x:c>
      <x:c r="O58" t="str"/>
    </x:row>
    <x:row r="59" ht="21" customHeight="1">
      <x:c r="A59" s="18" t="n">
        <x:v>46283</x:v>
      </x:c>
      <x:c r="B59" t="str">
        <x:v>C라인</x:v>
      </x:c>
      <x:c r="C59" t="str">
        <x:v>PR-101</x:v>
      </x:c>
      <x:c r="D59" t="str">
        <x:v>플라스틱 용기 500ml</x:v>
      </x:c>
      <x:c r="E59" t="str">
        <x:v>야간</x:v>
      </x:c>
      <x:c r="F59" s="22" t="n">
        <x:v>450</x:v>
      </x:c>
      <x:c r="G59" s="22" t="n">
        <x:v>368</x:v>
      </x:c>
      <x:c r="H59" s="22" t="n">
        <x:v>15</x:v>
      </x:c>
      <x:c r="I59" s="23" t="n">
        <x:f>G59-H59</x:f>
        <x:v>353</x:v>
      </x:c>
      <x:c r="J59" s="20" t="n">
        <x:f>IFERROR(G59/F59,0)</x:f>
        <x:v>0.8177777777777778</x:v>
      </x:c>
      <x:c r="K59" s="20" t="n">
        <x:f>IFERROR(H59/G59,0)</x:f>
        <x:v>0.04076086956521739</x:v>
      </x:c>
      <x:c r="L59" s="26" t="n">
        <x:f>G59-F59</x:f>
        <x:v>-82</x:v>
      </x:c>
      <x:c r="M59" s="16" t="str">
        <x:f>IF(J59&gt;=100%,"달성","미달")</x:f>
        <x:v>미달</x:v>
      </x:c>
      <x:c r="N59" s="16" t="str">
        <x:f>IF(K59&lt;=3%,"정상","주의")</x:f>
        <x:v>주의</x:v>
      </x:c>
      <x:c r="O59" t="str"/>
    </x:row>
    <x:row r="60" ht="21" customHeight="1">
      <x:c r="A60" s="18" t="n">
        <x:v>46284</x:v>
      </x:c>
      <x:c r="B60" t="str">
        <x:v>A라인</x:v>
      </x:c>
      <x:c r="C60" t="str">
        <x:v>PR-202</x:v>
      </x:c>
      <x:c r="D60" t="str">
        <x:v>캡 부품 B형</x:v>
      </x:c>
      <x:c r="E60" t="str">
        <x:v>주간</x:v>
      </x:c>
      <x:c r="F60" s="22" t="n">
        <x:v>520</x:v>
      </x:c>
      <x:c r="G60" s="22" t="n">
        <x:v>511</x:v>
      </x:c>
      <x:c r="H60" s="22" t="n">
        <x:v>13</x:v>
      </x:c>
      <x:c r="I60" s="23" t="n">
        <x:f>G60-H60</x:f>
        <x:v>498</x:v>
      </x:c>
      <x:c r="J60" s="20" t="n">
        <x:f>IFERROR(G60/F60,0)</x:f>
        <x:v>0.9826923076923076</x:v>
      </x:c>
      <x:c r="K60" s="20" t="n">
        <x:f>IFERROR(H60/G60,0)</x:f>
        <x:v>0.025440313111545987</x:v>
      </x:c>
      <x:c r="L60" s="26" t="n">
        <x:f>G60-F60</x:f>
        <x:v>-9</x:v>
      </x:c>
      <x:c r="M60" s="16" t="str">
        <x:f>IF(J60&gt;=100%,"달성","미달")</x:f>
        <x:v>미달</x:v>
      </x:c>
      <x:c r="N60" s="16" t="str">
        <x:f>IF(K60&lt;=3%,"정상","주의")</x:f>
        <x:v>정상</x:v>
      </x:c>
      <x:c r="O60" t="str"/>
    </x:row>
    <x:row r="61" ht="21" customHeight="1">
      <x:c r="A61" s="18" t="n">
        <x:v>46284</x:v>
      </x:c>
      <x:c r="B61" t="str">
        <x:v>B라인</x:v>
      </x:c>
      <x:c r="C61" t="str">
        <x:v>PR-101</x:v>
      </x:c>
      <x:c r="D61" t="str">
        <x:v>플라스틱 용기 500ml</x:v>
      </x:c>
      <x:c r="E61" t="str">
        <x:v>주간</x:v>
      </x:c>
      <x:c r="F61" s="22" t="n">
        <x:v>480</x:v>
      </x:c>
      <x:c r="G61" s="22" t="n">
        <x:v>415</x:v>
      </x:c>
      <x:c r="H61" s="22" t="n">
        <x:v>10</x:v>
      </x:c>
      <x:c r="I61" s="23" t="n">
        <x:f>G61-H61</x:f>
        <x:v>405</x:v>
      </x:c>
      <x:c r="J61" s="20" t="n">
        <x:f>IFERROR(G61/F61,0)</x:f>
        <x:v>0.8645833333333334</x:v>
      </x:c>
      <x:c r="K61" s="20" t="n">
        <x:f>IFERROR(H61/G61,0)</x:f>
        <x:v>0.024096385542168676</x:v>
      </x:c>
      <x:c r="L61" s="26" t="n">
        <x:f>G61-F61</x:f>
        <x:v>-65</x:v>
      </x:c>
      <x:c r="M61" s="16" t="str">
        <x:f>IF(J61&gt;=100%,"달성","미달")</x:f>
        <x:v>미달</x:v>
      </x:c>
      <x:c r="N61" s="16" t="str">
        <x:f>IF(K61&lt;=3%,"정상","주의")</x:f>
        <x:v>정상</x:v>
      </x:c>
      <x:c r="O61" t="str"/>
    </x:row>
    <x:row r="62" ht="21" customHeight="1">
      <x:c r="A62" s="18" t="n">
        <x:v>46284</x:v>
      </x:c>
      <x:c r="B62" t="str">
        <x:v>C라인</x:v>
      </x:c>
      <x:c r="C62" t="str">
        <x:v>PR-102</x:v>
      </x:c>
      <x:c r="D62" t="str">
        <x:v>플라스틱 용기 1L</x:v>
      </x:c>
      <x:c r="E62" t="str">
        <x:v>주간</x:v>
      </x:c>
      <x:c r="F62" s="22" t="n">
        <x:v>450</x:v>
      </x:c>
      <x:c r="G62" s="22" t="n">
        <x:v>491</x:v>
      </x:c>
      <x:c r="H62" s="22" t="n">
        <x:v>9</x:v>
      </x:c>
      <x:c r="I62" s="23" t="n">
        <x:f>G62-H62</x:f>
        <x:v>482</x:v>
      </x:c>
      <x:c r="J62" s="20" t="n">
        <x:f>IFERROR(G62/F62,0)</x:f>
        <x:v>1.0911111111111111</x:v>
      </x:c>
      <x:c r="K62" s="20" t="n">
        <x:f>IFERROR(H62/G62,0)</x:f>
        <x:v>0.018329938900203666</x:v>
      </x:c>
      <x:c r="L62" s="26" t="n">
        <x:f>G62-F62</x:f>
        <x:v>41</x:v>
      </x:c>
      <x:c r="M62" s="16" t="str">
        <x:f>IF(J62&gt;=100%,"달성","미달")</x:f>
        <x:v>달성</x:v>
      </x:c>
      <x:c r="N62" s="16" t="str">
        <x:f>IF(K62&lt;=3%,"정상","주의")</x:f>
        <x:v>정상</x:v>
      </x:c>
      <x:c r="O62" t="str"/>
    </x:row>
    <x:row r="63" ht="21" customHeight="1">
      <x:c r="A63" s="18" t="n">
        <x:v>46285</x:v>
      </x:c>
      <x:c r="B63" t="str">
        <x:v>A라인</x:v>
      </x:c>
      <x:c r="C63" t="str">
        <x:v>PR-101</x:v>
      </x:c>
      <x:c r="D63" t="str">
        <x:v>플라스틱 용기 500ml</x:v>
      </x:c>
      <x:c r="E63" t="str">
        <x:v>야간</x:v>
      </x:c>
      <x:c r="F63" s="22" t="n">
        <x:v>520</x:v>
      </x:c>
      <x:c r="G63" s="22" t="n">
        <x:v>476</x:v>
      </x:c>
      <x:c r="H63" s="22" t="n">
        <x:v>21</x:v>
      </x:c>
      <x:c r="I63" s="23" t="n">
        <x:f>G63-H63</x:f>
        <x:v>455</x:v>
      </x:c>
      <x:c r="J63" s="20" t="n">
        <x:f>IFERROR(G63/F63,0)</x:f>
        <x:v>0.9153846153846154</x:v>
      </x:c>
      <x:c r="K63" s="20" t="n">
        <x:f>IFERROR(H63/G63,0)</x:f>
        <x:v>0.04411764705882353</x:v>
      </x:c>
      <x:c r="L63" s="26" t="n">
        <x:f>G63-F63</x:f>
        <x:v>-44</x:v>
      </x:c>
      <x:c r="M63" s="16" t="str">
        <x:f>IF(J63&gt;=100%,"달성","미달")</x:f>
        <x:v>미달</x:v>
      </x:c>
      <x:c r="N63" s="16" t="str">
        <x:f>IF(K63&lt;=3%,"정상","주의")</x:f>
        <x:v>주의</x:v>
      </x:c>
      <x:c r="O63" t="str"/>
    </x:row>
    <x:row r="64" ht="21" customHeight="1">
      <x:c r="A64" s="18" t="n">
        <x:v>46285</x:v>
      </x:c>
      <x:c r="B64" t="str">
        <x:v>B라인</x:v>
      </x:c>
      <x:c r="C64" t="str">
        <x:v>PR-102</x:v>
      </x:c>
      <x:c r="D64" t="str">
        <x:v>플라스틱 용기 1L</x:v>
      </x:c>
      <x:c r="E64" t="str">
        <x:v>야간</x:v>
      </x:c>
      <x:c r="F64" s="22" t="n">
        <x:v>480</x:v>
      </x:c>
      <x:c r="G64" s="22" t="n">
        <x:v>512</x:v>
      </x:c>
      <x:c r="H64" s="22" t="n">
        <x:v>22</x:v>
      </x:c>
      <x:c r="I64" s="23" t="n">
        <x:f>G64-H64</x:f>
        <x:v>490</x:v>
      </x:c>
      <x:c r="J64" s="20" t="n">
        <x:f>IFERROR(G64/F64,0)</x:f>
        <x:v>1.0666666666666667</x:v>
      </x:c>
      <x:c r="K64" s="20" t="n">
        <x:f>IFERROR(H64/G64,0)</x:f>
        <x:v>0.04296875</x:v>
      </x:c>
      <x:c r="L64" s="26" t="n">
        <x:f>G64-F64</x:f>
        <x:v>32</x:v>
      </x:c>
      <x:c r="M64" s="16" t="str">
        <x:f>IF(J64&gt;=100%,"달성","미달")</x:f>
        <x:v>달성</x:v>
      </x:c>
      <x:c r="N64" s="16" t="str">
        <x:f>IF(K64&lt;=3%,"정상","주의")</x:f>
        <x:v>주의</x:v>
      </x:c>
      <x:c r="O64" t="str"/>
    </x:row>
    <x:row r="65" ht="21" customHeight="1">
      <x:c r="A65" s="18" t="n">
        <x:v>46285</x:v>
      </x:c>
      <x:c r="B65" t="str">
        <x:v>C라인</x:v>
      </x:c>
      <x:c r="C65" t="str">
        <x:v>PR-201</x:v>
      </x:c>
      <x:c r="D65" t="str">
        <x:v>캡 부품 A형</x:v>
      </x:c>
      <x:c r="E65" t="str">
        <x:v>야간</x:v>
      </x:c>
      <x:c r="F65" s="22" t="n">
        <x:v>450</x:v>
      </x:c>
      <x:c r="G65" s="22" t="n">
        <x:v>428</x:v>
      </x:c>
      <x:c r="H65" s="22" t="n">
        <x:v>18</x:v>
      </x:c>
      <x:c r="I65" s="23" t="n">
        <x:f>G65-H65</x:f>
        <x:v>410</x:v>
      </x:c>
      <x:c r="J65" s="20" t="n">
        <x:f>IFERROR(G65/F65,0)</x:f>
        <x:v>0.9511111111111111</x:v>
      </x:c>
      <x:c r="K65" s="20" t="n">
        <x:f>IFERROR(H65/G65,0)</x:f>
        <x:v>0.04205607476635514</x:v>
      </x:c>
      <x:c r="L65" s="26" t="n">
        <x:f>G65-F65</x:f>
        <x:v>-22</x:v>
      </x:c>
      <x:c r="M65" s="16" t="str">
        <x:f>IF(J65&gt;=100%,"달성","미달")</x:f>
        <x:v>미달</x:v>
      </x:c>
      <x:c r="N65" s="16" t="str">
        <x:f>IF(K65&lt;=3%,"정상","주의")</x:f>
        <x:v>주의</x:v>
      </x:c>
      <x:c r="O65" t="str"/>
    </x:row>
    <x:row r="67" ht="25" customHeight="1">
      <x:c r="A67" s="29" t="str">
        <x:v>합계 / 집계</x:v>
      </x:c>
      <x:c r="B67" s="29"/>
      <x:c r="C67" s="29"/>
      <x:c r="D67" s="29"/>
      <x:c r="E67" s="29"/>
      <x:c r="F67" s="29" t="n">
        <x:f>SUM(F6:F65)</x:f>
        <x:v>29000</x:v>
      </x:c>
      <x:c r="G67" s="29" t="n">
        <x:f>SUM(G6:G65)</x:f>
        <x:v>29297</x:v>
      </x:c>
      <x:c r="H67" s="29" t="n">
        <x:f>SUM(H6:H65)</x:f>
        <x:v>980</x:v>
      </x:c>
      <x:c r="I67" s="29" t="n">
        <x:f>SUM(I6:I65)</x:f>
        <x:v>28317</x:v>
      </x:c>
      <x:c r="J67" s="32" t="n">
        <x:f>IFERROR(G67/F67,0)</x:f>
        <x:v>1.0102413793103449</x:v>
      </x:c>
      <x:c r="K67" s="32" t="n">
        <x:f>IFERROR(H67/G67,0)</x:f>
        <x:v>0.03345052394443117</x:v>
      </x:c>
      <x:c r="L67" s="29" t="n">
        <x:f>G67-F67</x:f>
        <x:v>297</x:v>
      </x:c>
      <x:c r="M67" s="29" t="n">
        <x:f>COUNTIF(M6:M65,"미달")</x:f>
        <x:v>23</x:v>
      </x:c>
      <x:c r="N67" s="29" t="n">
        <x:f>COUNTIF(N6:N65,"주의")</x:f>
        <x:v>36</x:v>
      </x:c>
      <x:c r="O67" s="29"/>
    </x:row>
  </x:sheetData>
  <x:mergeCells>
    <x:mergeCell ref="A1:O2"/>
    <x:mergeCell ref="A3:O3"/>
  </x:mergeCells>
  <x:conditionalFormatting sqref="M6:M65">
    <x:cfRule type="expression" dxfId="0" priority="1">
      <x:formula>M6="미달"</x:formula>
    </x:cfRule>
  </x:conditionalFormatting>
  <x:conditionalFormatting sqref="N6:N65">
    <x:cfRule type="expression" dxfId="1" priority="2">
      <x:formula>N6="주의"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550c30b3df41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12" hidden="0" customWidth="1"/>
  </x:cols>
  <x:sheetData>
    <x:row r="1" ht="24" customHeight="1">
      <x:c r="A1" s="34" t="str">
        <x:v>생산실적 월간 요약 보고서</x:v>
      </x:c>
      <x:c r="B1" s="34"/>
      <x:c r="C1" s="34"/>
      <x:c r="D1" s="34"/>
      <x:c r="E1" s="34"/>
      <x:c r="F1" s="34"/>
      <x:c r="G1" s="34"/>
      <x:c r="H1" s="34"/>
    </x:row>
    <x:row r="2" ht="24" customHeight="1">
      <x:c r="A2" s="34"/>
      <x:c r="B2" s="34"/>
      <x:c r="C2" s="34"/>
      <x:c r="D2" s="34"/>
      <x:c r="E2" s="34"/>
      <x:c r="F2" s="34"/>
      <x:c r="G2" s="34"/>
      <x:c r="H2" s="34"/>
    </x:row>
    <x:row r="3" ht="24" customHeight="1">
      <x:c r="A3" s="6" t="str">
        <x:v>2026년 9월 / 실습 가상 데이터 / 3개 생산라인 기준</x:v>
      </x:c>
      <x:c r="B3" s="6"/>
      <x:c r="C3" s="6"/>
      <x:c r="D3" s="6"/>
      <x:c r="E3" s="6"/>
      <x:c r="F3" s="6"/>
      <x:c r="G3" s="6"/>
      <x:c r="H3" s="6"/>
    </x:row>
    <x:row r="5" ht="26" customHeight="1">
      <x:c r="A5" s="11" t="str">
        <x:v>핵심지표</x:v>
      </x:c>
      <x:c r="B5" s="11" t="str">
        <x:v>결과</x:v>
      </x:c>
    </x:row>
    <x:row r="6">
      <x:c r="A6" t="str">
        <x:v>총 목표수량</x:v>
      </x:c>
      <x:c r="B6" t="n">
        <x:f>'02_완성예시'!F67</x:f>
        <x:v>29000</x:v>
      </x:c>
    </x:row>
    <x:row r="7">
      <x:c r="A7" t="str">
        <x:v>총 생산수량</x:v>
      </x:c>
      <x:c r="B7" t="n">
        <x:f>'02_완성예시'!G67</x:f>
        <x:v>29297</x:v>
      </x:c>
    </x:row>
    <x:row r="8">
      <x:c r="A8" t="str">
        <x:v>총 불량수량</x:v>
      </x:c>
      <x:c r="B8" t="n">
        <x:f>'02_완성예시'!H67</x:f>
        <x:v>980</x:v>
      </x:c>
    </x:row>
    <x:row r="9">
      <x:c r="A9" t="str">
        <x:v>전체 달성률</x:v>
      </x:c>
      <x:c r="B9" s="36" t="n">
        <x:f>'02_완성예시'!J67</x:f>
        <x:v>1.0102413793103449</x:v>
      </x:c>
    </x:row>
    <x:row r="10">
      <x:c r="A10" t="str">
        <x:v>전체 불량률</x:v>
      </x:c>
      <x:c r="B10" s="36" t="n">
        <x:f>'02_완성예시'!K67</x:f>
        <x:v>0.03345052394443117</x:v>
      </x:c>
    </x:row>
    <x:row r="11">
      <x:c r="A11" t="str">
        <x:v>목표 미달 건수</x:v>
      </x:c>
      <x:c r="B11" t="n">
        <x:f>'02_완성예시'!M67</x:f>
        <x:v>23</x:v>
      </x:c>
    </x:row>
    <x:row r="14" ht="26" customHeight="1">
      <x:c r="A14" s="11" t="str">
        <x:v>생산라인</x:v>
      </x:c>
      <x:c r="B14" s="11" t="str">
        <x:v>목표수량</x:v>
      </x:c>
      <x:c r="C14" s="11" t="str">
        <x:v>생산수량</x:v>
      </x:c>
      <x:c r="D14" s="11" t="str">
        <x:v>불량수량</x:v>
      </x:c>
      <x:c r="E14" s="11" t="str">
        <x:v>달성률</x:v>
      </x:c>
      <x:c r="F14" s="11" t="str">
        <x:v>불량률</x:v>
      </x:c>
    </x:row>
    <x:row r="15">
      <x:c r="A15" t="str">
        <x:v>A라인</x:v>
      </x:c>
      <x:c r="B15" t="n">
        <x:f>SUMIF('02_완성예시'!$B$6:$B$65,A15,'02_완성예시'!$F$6:$F$65)</x:f>
        <x:v>10400</x:v>
      </x:c>
      <x:c r="C15" t="n">
        <x:f>SUMIF('02_완성예시'!$B$6:$B$65,A15,'02_완성예시'!$G$6:$G$65)</x:f>
        <x:v>10061</x:v>
      </x:c>
      <x:c r="D15" t="n">
        <x:f>SUMIF('02_완성예시'!$B$6:$B$65,A15,'02_완성예시'!$H$6:$H$65)</x:f>
        <x:v>299</x:v>
      </x:c>
      <x:c r="E15" s="36" t="n">
        <x:f>IFERROR(C15/B15,0)</x:f>
        <x:v>0.9674038461538461</x:v>
      </x:c>
      <x:c r="F15" s="36" t="n">
        <x:f>IFERROR(D15/C15,0)</x:f>
        <x:v>0.029718715833416162</x:v>
      </x:c>
    </x:row>
    <x:row r="16">
      <x:c r="A16" t="str">
        <x:v>B라인</x:v>
      </x:c>
      <x:c r="B16" t="n">
        <x:f>SUMIF('02_완성예시'!$B$6:$B$65,A16,'02_완성예시'!$F$6:$F$65)</x:f>
        <x:v>9600</x:v>
      </x:c>
      <x:c r="C16" t="n">
        <x:f>SUMIF('02_완성예시'!$B$6:$B$65,A16,'02_완성예시'!$G$6:$G$65)</x:f>
        <x:v>9904</x:v>
      </x:c>
      <x:c r="D16" t="n">
        <x:f>SUMIF('02_완성예시'!$B$6:$B$65,A16,'02_완성예시'!$H$6:$H$65)</x:f>
        <x:v>377</x:v>
      </x:c>
      <x:c r="E16" s="36" t="n">
        <x:f>IFERROR(C16/B16,0)</x:f>
        <x:v>1.0316666666666667</x:v>
      </x:c>
      <x:c r="F16" s="36" t="n">
        <x:f>IFERROR(D16/C16,0)</x:f>
        <x:v>0.0380654281098546</x:v>
      </x:c>
    </x:row>
    <x:row r="17">
      <x:c r="A17" t="str">
        <x:v>C라인</x:v>
      </x:c>
      <x:c r="B17" t="n">
        <x:f>SUMIF('02_완성예시'!$B$6:$B$65,A17,'02_완성예시'!$F$6:$F$65)</x:f>
        <x:v>9000</x:v>
      </x:c>
      <x:c r="C17" t="n">
        <x:f>SUMIF('02_완성예시'!$B$6:$B$65,A17,'02_완성예시'!$G$6:$G$65)</x:f>
        <x:v>9332</x:v>
      </x:c>
      <x:c r="D17" t="n">
        <x:f>SUMIF('02_완성예시'!$B$6:$B$65,A17,'02_완성예시'!$H$6:$H$65)</x:f>
        <x:v>304</x:v>
      </x:c>
      <x:c r="E17" s="36" t="n">
        <x:f>IFERROR(C17/B17,0)</x:f>
        <x:v>1.036888888888889</x:v>
      </x:c>
      <x:c r="F17" s="36" t="n">
        <x:f>IFERROR(D17/C17,0)</x:f>
        <x:v>0.03257608229747107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5955dc5752314712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8" hidden="0" customWidth="1"/>
  </x:cols>
  <x:sheetData>
    <x:row r="1" ht="23" customHeight="1">
      <x:c r="A1" s="34" t="str">
        <x:v>생산실적 관리 실습 — 수업 안내</x:v>
      </x:c>
      <x:c r="B1" s="34"/>
      <x:c r="C1" s="34"/>
      <x:c r="D1" s="34"/>
      <x:c r="E1" s="34"/>
      <x:c r="F1" s="34"/>
      <x:c r="G1" s="34"/>
    </x:row>
    <x:row r="2" ht="23" customHeight="1">
      <x:c r="A2" s="34"/>
      <x:c r="B2" s="34"/>
      <x:c r="C2" s="34"/>
      <x:c r="D2" s="34"/>
      <x:c r="E2" s="34"/>
      <x:c r="F2" s="34"/>
      <x:c r="G2" s="34"/>
    </x:row>
    <x:row r="4" ht="33" customHeight="1">
      <x:c r="A4" s="38" t="str">
        <x:v>교육 목표</x:v>
      </x:c>
      <x:c r="B4" s="40" t="str">
        <x:v>생산량과 품질지표를 계산하고 미달·주의 생산 건을 찾아 월간 보고를 할 수 있다.</x:v>
      </x:c>
    </x:row>
    <x:row r="5" ht="33" customHeight="1">
      <x:c r="A5" s="38" t="str">
        <x:v>1. 양품수량 (I6)</x:v>
      </x:c>
      <x:c r="B5" s="40" t="n">
        <x:f>G6-H6</x:f>
        <x:v>0</x:v>
      </x:c>
    </x:row>
    <x:row r="6" ht="33" customHeight="1">
      <x:c r="A6" s="38" t="str">
        <x:v>2. 달성률 (J6)</x:v>
      </x:c>
      <x:c r="B6" s="40" t="n">
        <x:f>IFERROR(G6/F6,0)</x:f>
        <x:v>0</x:v>
      </x:c>
    </x:row>
    <x:row r="7" ht="33" customHeight="1">
      <x:c r="A7" s="38" t="str">
        <x:v>3. 불량률 (K6)</x:v>
      </x:c>
      <x:c r="B7" s="40" t="n">
        <x:f>IFERROR(H6/G6,0)</x:f>
        <x:v>0</x:v>
      </x:c>
    </x:row>
    <x:row r="8" ht="33" customHeight="1">
      <x:c r="A8" s="38" t="str">
        <x:v>4. 목표차이 (L6)</x:v>
      </x:c>
      <x:c r="B8" s="40" t="n">
        <x:f>G6-F6</x:f>
        <x:v>0</x:v>
      </x:c>
    </x:row>
    <x:row r="9" ht="33" customHeight="1">
      <x:c r="A9" s="38" t="str">
        <x:v>5. 생산판정 (M6)</x:v>
      </x:c>
      <x:c r="B9" s="40" t="str">
        <x:f>IF(J6&gt;=100%,"달성","미달")</x:f>
        <x:v>미달</x:v>
      </x:c>
    </x:row>
    <x:row r="10" ht="33" customHeight="1">
      <x:c r="A10" s="38" t="str">
        <x:v>6. 품질판정 (N6)</x:v>
      </x:c>
      <x:c r="B10" s="40" t="str">
        <x:f>IF(K6&lt;=3%,"정상","주의")</x:f>
        <x:v>정상</x:v>
      </x:c>
    </x:row>
    <x:row r="11" ht="33" customHeight="1">
      <x:c r="A11" s="38" t="str">
        <x:v>7. 자동 채우기</x:v>
      </x:c>
      <x:c r="B11" s="40" t="str">
        <x:v>I6:N6 수식을 65행까지 복사하고, J·K열은 백분율로 표시</x:v>
      </x:c>
    </x:row>
    <x:row r="12" ht="33" customHeight="1">
      <x:c r="A12" s="38" t="str">
        <x:v>8. 필터</x:v>
      </x:c>
      <x:c r="B12" s="40" t="str">
        <x:v>B열에서 B라인만 표시 / M열에서 미달만 표시 / N열에서 주의만 표시</x:v>
      </x:c>
    </x:row>
    <x:row r="13" ht="33" customHeight="1">
      <x:c r="A13" s="38" t="str">
        <x:v>9. 조건부서식</x:v>
      </x:c>
      <x:c r="B13" s="40" t="str">
        <x:v>생산판정이 미달이면 빨간색, 품질판정이 주의이면 노란색</x:v>
      </x:c>
    </x:row>
    <x:row r="14" ht="33" customHeight="1">
      <x:c r="A14" s="38" t="str">
        <x:v>10. 합계·통계</x:v>
      </x:c>
      <x:c r="B14" s="40" t="str">
        <x:v>목표량·생산량·불량량 합계, 전체 달성률·불량률 계산</x:v>
      </x:c>
    </x:row>
    <x:row r="15" ht="33" customHeight="1">
      <x:c r="A15" s="38" t="str">
        <x:v>11. 보고서</x:v>
      </x:c>
      <x:c r="B15" s="40" t="str">
        <x:v>03_월간보고서에서 SUMIF 수식·차트 확인</x:v>
      </x:c>
    </x:row>
    <x:row r="16" ht="33" customHeight="1">
      <x:c r="A16" s="38" t="str">
        <x:v>주의사항</x:v>
      </x:c>
      <x:c r="B16" s="40" t="str">
        <x:v>판정기준: 달성률 100% 이상 달성 / 불량률 3% 이하 정상. 가상 수업용 데이터입니다.</x:v>
      </x:c>
    </x:row>
    <x:row r="17" ht="33" customHeight="1">
      <x:c r="A17" s="38" t="str">
        <x:v>실무참고</x:v>
      </x:c>
      <x:c r="B17" s="40" t="str">
        <x:v>실제 업무에서는 작업시간, 설비정지, 불량원인, LOT번호 등 추가 관리 항목이 있을 수 있습니다.</x:v>
      </x:c>
    </x:row>
  </x:sheetData>
  <x:mergeCells>
    <x:mergeCell ref="A1:G2"/>
  </x:mergeCells>
  <x:pageMargins left="0.7" right="0.7" top="0.75" bottom="0.75" header="0.3" footer="0.3"/>
</x:worksheet>
</file>