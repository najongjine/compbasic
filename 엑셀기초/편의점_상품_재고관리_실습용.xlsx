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ae4aaab6b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재고관리_실습" sheetId="1" r:id="R1244a31e9de04c42"/>
    <x:sheet xmlns:r="http://schemas.openxmlformats.org/officeDocument/2006/relationships" name="02_완성예시" sheetId="2" r:id="R4760e3973e1a4348"/>
    <x:sheet xmlns:r="http://schemas.openxmlformats.org/officeDocument/2006/relationships" name="03_실습안내" sheetId="3" r:id="R70e8af9417db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원&quot;"/>
    <x:numFmt numFmtId="201" formatCode="#,##0"/>
  </x:numFmts>
  <x:fonts count="5">
    <x:font>
      <x:sz val="11"/>
      <x:name val="Carlito"/>
    </x:font>
    <x:font>
      <x:b/>
      <x:sz val="17"/>
      <x:color rgb="FFFFFFFF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EEF5"/>
      </x:patternFill>
    </x:fill>
    <x:fill>
      <x:patternFill patternType="solid">
        <x:fgColor rgb="FF147D85"/>
      </x:patternFill>
    </x:fill>
    <x:fill>
      <x:patternFill patternType="solid">
        <x:fgColor rgb="FFE9F5F6"/>
      </x:patternFill>
    </x:fill>
    <x:fill>
      <x:patternFill patternType="solid">
        <x:fgColor rgb="FFDDE9EF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C25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544f9d9d44dc4" /><Relationship Type="http://schemas.openxmlformats.org/officeDocument/2006/relationships/theme" Target="/xl/theme/theme1.xml" Id="Rae8a59feba4642df" /><Relationship Type="http://schemas.openxmlformats.org/officeDocument/2006/relationships/sharedStrings" Target="/xl/sharedStrings.xml" Id="R64ceb55c328a4cc5" /><Relationship Type="http://schemas.openxmlformats.org/officeDocument/2006/relationships/worksheet" Target="/xl/worksheets/sheet1.xml" Id="R1244a31e9de04c42" /><Relationship Type="http://schemas.openxmlformats.org/officeDocument/2006/relationships/worksheet" Target="/xl/worksheets/sheet2.xml" Id="R4760e3973e1a4348" /><Relationship Type="http://schemas.openxmlformats.org/officeDocument/2006/relationships/worksheet" Target="/xl/worksheets/sheet3.xml" Id="R70e8af9417db42c6" /></Relationships>
</file>

<file path=xl/tables/table1.xml><?xml version="1.0" encoding="utf-8"?>
<x:table xmlns:x="http://schemas.openxmlformats.org/spreadsheetml/2006/main" id="1" name="PracticeStock" displayName="PracticeStock" ref="A5:N45" headerRowCount="1" totalsRowCount="0" totalsRowShown="0">
  <x:tableColumns count="14">
    <x:tableColumn id="1" name="상품코드"/>
    <x:tableColumn id="2" name="분류"/>
    <x:tableColumn id="3" name="상품명"/>
    <x:tableColumn id="4" name="매입단가"/>
    <x:tableColumn id="5" name="판매단가"/>
    <x:tableColumn id="6" name="초기재고"/>
    <x:tableColumn id="7" name="입고량"/>
    <x:tableColumn id="8" name="판매량"/>
    <x:tableColumn id="9" name="안전재고"/>
    <x:tableColumn id="10" name="현재고"/>
    <x:tableColumn id="11" name="재고금액"/>
    <x:tableColumn id="12" name="판매금액"/>
    <x:tableColumn id="13" name="판매이익"/>
    <x:tableColumn id="14" name="재고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dStock" displayName="CompletedStock" ref="A5:N45" headerRowCount="1" totalsRowCount="0" totalsRowShown="0">
  <x:tableColumns count="14">
    <x:tableColumn id="1" name="상품코드"/>
    <x:tableColumn id="2" name="분류"/>
    <x:tableColumn id="3" name="상품명"/>
    <x:tableColumn id="4" name="매입단가"/>
    <x:tableColumn id="5" name="판매단가"/>
    <x:tableColumn id="6" name="초기재고"/>
    <x:tableColumn id="7" name="입고량"/>
    <x:tableColumn id="8" name="판매량"/>
    <x:tableColumn id="9" name="안전재고"/>
    <x:tableColumn id="10" name="현재고"/>
    <x:tableColumn id="11" name="재고금액"/>
    <x:tableColumn id="12" name="판매금액"/>
    <x:tableColumn id="13" name="판매이익"/>
    <x:tableColumn id="14" name="재고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4d64a0d3df4d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5a384f2f2d4856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5" customHeight="1">
      <x:c r="A1" s="3" t="str">
        <x:v>편의점 상품 재고관리 | 실습용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7" customHeight="1">
      <x:c r="A3" s="7" t="str">
        <x:v>가상 자료 · 40개 상품 | 파란색 영역(J~N)에 수식을 입력하세요.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29" customHeight="1">
      <x:c r="A5" s="12" t="str">
        <x:v>상품코드</x:v>
      </x:c>
      <x:c r="B5" s="12" t="str">
        <x:v>분류</x:v>
      </x:c>
      <x:c r="C5" s="12" t="str">
        <x:v>상품명</x:v>
      </x:c>
      <x:c r="D5" s="12" t="str">
        <x:v>매입단가</x:v>
      </x:c>
      <x:c r="E5" s="12" t="str">
        <x:v>판매단가</x:v>
      </x:c>
      <x:c r="F5" s="12" t="str">
        <x:v>초기재고</x:v>
      </x:c>
      <x:c r="G5" s="12" t="str">
        <x:v>입고량</x:v>
      </x:c>
      <x:c r="H5" s="12" t="str">
        <x:v>판매량</x:v>
      </x:c>
      <x:c r="I5" s="12" t="str">
        <x:v>안전재고</x:v>
      </x:c>
      <x:c r="J5" s="12" t="str">
        <x:v>현재고</x:v>
      </x:c>
      <x:c r="K5" s="12" t="str">
        <x:v>재고금액</x:v>
      </x:c>
      <x:c r="L5" s="12" t="str">
        <x:v>판매금액</x:v>
      </x:c>
      <x:c r="M5" s="12" t="str">
        <x:v>판매이익</x:v>
      </x:c>
      <x:c r="N5" s="12" t="str">
        <x:v>재고상태</x:v>
      </x:c>
    </x:row>
    <x:row r="6" ht="21" customHeight="1">
      <x:c r="A6" t="str">
        <x:v>P001</x:v>
      </x:c>
      <x:c r="B6" t="str">
        <x:v>음료</x:v>
      </x:c>
      <x:c r="C6" t="str">
        <x:v>코카콜라 500ml</x:v>
      </x:c>
      <x:c r="D6" s="18" t="n">
        <x:v>1200</x:v>
      </x:c>
      <x:c r="E6" s="18" t="n">
        <x:v>2200</x:v>
      </x:c>
      <x:c r="F6" s="22" t="n">
        <x:v>30</x:v>
      </x:c>
      <x:c r="G6" s="22" t="n">
        <x:v>20</x:v>
      </x:c>
      <x:c r="H6" s="22" t="n">
        <x:v>35</x:v>
      </x:c>
      <x:c r="I6" s="22" t="n">
        <x:v>15</x:v>
      </x:c>
      <x:c r="J6" s="23"/>
      <x:c r="K6" s="20"/>
      <x:c r="L6" s="20"/>
      <x:c r="M6" s="20"/>
      <x:c r="N6" s="16"/>
    </x:row>
    <x:row r="7" ht="21" customHeight="1">
      <x:c r="A7" t="str">
        <x:v>P002</x:v>
      </x:c>
      <x:c r="B7" t="str">
        <x:v>음료</x:v>
      </x:c>
      <x:c r="C7" t="str">
        <x:v>펩시콜라 500ml</x:v>
      </x:c>
      <x:c r="D7" s="18" t="n">
        <x:v>1000</x:v>
      </x:c>
      <x:c r="E7" s="18" t="n">
        <x:v>2000</x:v>
      </x:c>
      <x:c r="F7" s="22" t="n">
        <x:v>25</x:v>
      </x:c>
      <x:c r="G7" s="22" t="n">
        <x:v>20</x:v>
      </x:c>
      <x:c r="H7" s="22" t="n">
        <x:v>30</x:v>
      </x:c>
      <x:c r="I7" s="22" t="n">
        <x:v>15</x:v>
      </x:c>
      <x:c r="J7" s="23"/>
      <x:c r="K7" s="20"/>
      <x:c r="L7" s="20"/>
      <x:c r="M7" s="20"/>
      <x:c r="N7" s="16"/>
    </x:row>
    <x:row r="8" ht="21" customHeight="1">
      <x:c r="A8" t="str">
        <x:v>P003</x:v>
      </x:c>
      <x:c r="B8" t="str">
        <x:v>음료</x:v>
      </x:c>
      <x:c r="C8" t="str">
        <x:v>칠성사이다 500ml</x:v>
      </x:c>
      <x:c r="D8" s="18" t="n">
        <x:v>1200</x:v>
      </x:c>
      <x:c r="E8" s="18" t="n">
        <x:v>2200</x:v>
      </x:c>
      <x:c r="F8" s="22" t="n">
        <x:v>20</x:v>
      </x:c>
      <x:c r="G8" s="22" t="n">
        <x:v>20</x:v>
      </x:c>
      <x:c r="H8" s="22" t="n">
        <x:v>28</x:v>
      </x:c>
      <x:c r="I8" s="22" t="n">
        <x:v>15</x:v>
      </x:c>
      <x:c r="J8" s="23"/>
      <x:c r="K8" s="20"/>
      <x:c r="L8" s="20"/>
      <x:c r="M8" s="20"/>
      <x:c r="N8" s="16"/>
    </x:row>
    <x:row r="9" ht="21" customHeight="1">
      <x:c r="A9" t="str">
        <x:v>P004</x:v>
      </x:c>
      <x:c r="B9" t="str">
        <x:v>음료</x:v>
      </x:c>
      <x:c r="C9" t="str">
        <x:v>삼다수 500ml</x:v>
      </x:c>
      <x:c r="D9" s="18" t="n">
        <x:v>500</x:v>
      </x:c>
      <x:c r="E9" s="18" t="n">
        <x:v>1000</x:v>
      </x:c>
      <x:c r="F9" s="22" t="n">
        <x:v>40</x:v>
      </x:c>
      <x:c r="G9" s="22" t="n">
        <x:v>30</x:v>
      </x:c>
      <x:c r="H9" s="22" t="n">
        <x:v>55</x:v>
      </x:c>
      <x:c r="I9" s="22" t="n">
        <x:v>20</x:v>
      </x:c>
      <x:c r="J9" s="23"/>
      <x:c r="K9" s="20"/>
      <x:c r="L9" s="20"/>
      <x:c r="M9" s="20"/>
      <x:c r="N9" s="16"/>
    </x:row>
    <x:row r="10" ht="21" customHeight="1">
      <x:c r="A10" t="str">
        <x:v>P005</x:v>
      </x:c>
      <x:c r="B10" t="str">
        <x:v>음료</x:v>
      </x:c>
      <x:c r="C10" t="str">
        <x:v>레쓰비 마일드</x:v>
      </x:c>
      <x:c r="D10" s="18" t="n">
        <x:v>600</x:v>
      </x:c>
      <x:c r="E10" s="18" t="n">
        <x:v>1200</x:v>
      </x:c>
      <x:c r="F10" s="22" t="n">
        <x:v>35</x:v>
      </x:c>
      <x:c r="G10" s="22" t="n">
        <x:v>20</x:v>
      </x:c>
      <x:c r="H10" s="22" t="n">
        <x:v>42</x:v>
      </x:c>
      <x:c r="I10" s="22" t="n">
        <x:v>15</x:v>
      </x:c>
      <x:c r="J10" s="23"/>
      <x:c r="K10" s="20"/>
      <x:c r="L10" s="20"/>
      <x:c r="M10" s="20"/>
      <x:c r="N10" s="16"/>
    </x:row>
    <x:row r="11" ht="21" customHeight="1">
      <x:c r="A11" t="str">
        <x:v>P006</x:v>
      </x:c>
      <x:c r="B11" t="str">
        <x:v>음료</x:v>
      </x:c>
      <x:c r="C11" t="str">
        <x:v>바나나맛우유</x:v>
      </x:c>
      <x:c r="D11" s="18" t="n">
        <x:v>1000</x:v>
      </x:c>
      <x:c r="E11" s="18" t="n">
        <x:v>1800</x:v>
      </x:c>
      <x:c r="F11" s="22" t="n">
        <x:v>25</x:v>
      </x:c>
      <x:c r="G11" s="22" t="n">
        <x:v>15</x:v>
      </x:c>
      <x:c r="H11" s="22" t="n">
        <x:v>32</x:v>
      </x:c>
      <x:c r="I11" s="22" t="n">
        <x:v>15</x:v>
      </x:c>
      <x:c r="J11" s="23"/>
      <x:c r="K11" s="20"/>
      <x:c r="L11" s="20"/>
      <x:c r="M11" s="20"/>
      <x:c r="N11" s="16"/>
    </x:row>
    <x:row r="12" ht="21" customHeight="1">
      <x:c r="A12" t="str">
        <x:v>P007</x:v>
      </x:c>
      <x:c r="B12" t="str">
        <x:v>음료</x:v>
      </x:c>
      <x:c r="C12" t="str">
        <x:v>포카리스웨트 500ml</x:v>
      </x:c>
      <x:c r="D12" s="18" t="n">
        <x:v>1300</x:v>
      </x:c>
      <x:c r="E12" s="18" t="n">
        <x:v>2300</x:v>
      </x:c>
      <x:c r="F12" s="22" t="n">
        <x:v>25</x:v>
      </x:c>
      <x:c r="G12" s="22" t="n">
        <x:v>20</x:v>
      </x:c>
      <x:c r="H12" s="22" t="n">
        <x:v>18</x:v>
      </x:c>
      <x:c r="I12" s="22" t="n">
        <x:v>15</x:v>
      </x:c>
      <x:c r="J12" s="23"/>
      <x:c r="K12" s="20"/>
      <x:c r="L12" s="20"/>
      <x:c r="M12" s="20"/>
      <x:c r="N12" s="16"/>
    </x:row>
    <x:row r="13" ht="21" customHeight="1">
      <x:c r="A13" t="str">
        <x:v>P008</x:v>
      </x:c>
      <x:c r="B13" t="str">
        <x:v>음료</x:v>
      </x:c>
      <x:c r="C13" t="str">
        <x:v>몬스터 에너지</x:v>
      </x:c>
      <x:c r="D13" s="18" t="n">
        <x:v>1700</x:v>
      </x:c>
      <x:c r="E13" s="18" t="n">
        <x:v>3000</x:v>
      </x:c>
      <x:c r="F13" s="22" t="n">
        <x:v>20</x:v>
      </x:c>
      <x:c r="G13" s="22" t="n">
        <x:v>15</x:v>
      </x:c>
      <x:c r="H13" s="22" t="n">
        <x:v>25</x:v>
      </x:c>
      <x:c r="I13" s="22" t="n">
        <x:v>10</x:v>
      </x:c>
      <x:c r="J13" s="23"/>
      <x:c r="K13" s="20"/>
      <x:c r="L13" s="20"/>
      <x:c r="M13" s="20"/>
      <x:c r="N13" s="16"/>
    </x:row>
    <x:row r="14" ht="21" customHeight="1">
      <x:c r="A14" t="str">
        <x:v>P009</x:v>
      </x:c>
      <x:c r="B14" t="str">
        <x:v>과자</x:v>
      </x:c>
      <x:c r="C14" t="str">
        <x:v>새우깡</x:v>
      </x:c>
      <x:c r="D14" s="18" t="n">
        <x:v>900</x:v>
      </x:c>
      <x:c r="E14" s="18" t="n">
        <x:v>1500</x:v>
      </x:c>
      <x:c r="F14" s="22" t="n">
        <x:v>30</x:v>
      </x:c>
      <x:c r="G14" s="22" t="n">
        <x:v>20</x:v>
      </x:c>
      <x:c r="H14" s="22" t="n">
        <x:v>38</x:v>
      </x:c>
      <x:c r="I14" s="22" t="n">
        <x:v>15</x:v>
      </x:c>
      <x:c r="J14" s="23"/>
      <x:c r="K14" s="20"/>
      <x:c r="L14" s="20"/>
      <x:c r="M14" s="20"/>
      <x:c r="N14" s="16"/>
    </x:row>
    <x:row r="15" ht="21" customHeight="1">
      <x:c r="A15" t="str">
        <x:v>P010</x:v>
      </x:c>
      <x:c r="B15" t="str">
        <x:v>과자</x:v>
      </x:c>
      <x:c r="C15" t="str">
        <x:v>포카칩 오리지널</x:v>
      </x:c>
      <x:c r="D15" s="18" t="n">
        <x:v>1000</x:v>
      </x:c>
      <x:c r="E15" s="18" t="n">
        <x:v>1700</x:v>
      </x:c>
      <x:c r="F15" s="22" t="n">
        <x:v>25</x:v>
      </x:c>
      <x:c r="G15" s="22" t="n">
        <x:v>15</x:v>
      </x:c>
      <x:c r="H15" s="22" t="n">
        <x:v>29</x:v>
      </x:c>
      <x:c r="I15" s="22" t="n">
        <x:v>10</x:v>
      </x:c>
      <x:c r="J15" s="23"/>
      <x:c r="K15" s="20"/>
      <x:c r="L15" s="20"/>
      <x:c r="M15" s="20"/>
      <x:c r="N15" s="16"/>
    </x:row>
    <x:row r="16" ht="21" customHeight="1">
      <x:c r="A16" t="str">
        <x:v>P011</x:v>
      </x:c>
      <x:c r="B16" t="str">
        <x:v>과자</x:v>
      </x:c>
      <x:c r="C16" t="str">
        <x:v>꼬깔콘 고소한맛</x:v>
      </x:c>
      <x:c r="D16" s="18" t="n">
        <x:v>1000</x:v>
      </x:c>
      <x:c r="E16" s="18" t="n">
        <x:v>1700</x:v>
      </x:c>
      <x:c r="F16" s="22" t="n">
        <x:v>20</x:v>
      </x:c>
      <x:c r="G16" s="22" t="n">
        <x:v>15</x:v>
      </x:c>
      <x:c r="H16" s="22" t="n">
        <x:v>26</x:v>
      </x:c>
      <x:c r="I16" s="22" t="n">
        <x:v>10</x:v>
      </x:c>
      <x:c r="J16" s="23"/>
      <x:c r="K16" s="20"/>
      <x:c r="L16" s="20"/>
      <x:c r="M16" s="20"/>
      <x:c r="N16" s="16"/>
    </x:row>
    <x:row r="17" ht="21" customHeight="1">
      <x:c r="A17" t="str">
        <x:v>P012</x:v>
      </x:c>
      <x:c r="B17" t="str">
        <x:v>과자</x:v>
      </x:c>
      <x:c r="C17" t="str">
        <x:v>초코파이 6개입</x:v>
      </x:c>
      <x:c r="D17" s="18" t="n">
        <x:v>2200</x:v>
      </x:c>
      <x:c r="E17" s="18" t="n">
        <x:v>3500</x:v>
      </x:c>
      <x:c r="F17" s="22" t="n">
        <x:v>15</x:v>
      </x:c>
      <x:c r="G17" s="22" t="n">
        <x:v>10</x:v>
      </x:c>
      <x:c r="H17" s="22" t="n">
        <x:v>18</x:v>
      </x:c>
      <x:c r="I17" s="22" t="n">
        <x:v>10</x:v>
      </x:c>
      <x:c r="J17" s="23"/>
      <x:c r="K17" s="20"/>
      <x:c r="L17" s="20"/>
      <x:c r="M17" s="20"/>
      <x:c r="N17" s="16"/>
    </x:row>
    <x:row r="18" ht="21" customHeight="1">
      <x:c r="A18" t="str">
        <x:v>P013</x:v>
      </x:c>
      <x:c r="B18" t="str">
        <x:v>과자</x:v>
      </x:c>
      <x:c r="C18" t="str">
        <x:v>홈런볼</x:v>
      </x:c>
      <x:c r="D18" s="18" t="n">
        <x:v>1100</x:v>
      </x:c>
      <x:c r="E18" s="18" t="n">
        <x:v>1800</x:v>
      </x:c>
      <x:c r="F18" s="22" t="n">
        <x:v>25</x:v>
      </x:c>
      <x:c r="G18" s="22" t="n">
        <x:v>20</x:v>
      </x:c>
      <x:c r="H18" s="22" t="n">
        <x:v>32</x:v>
      </x:c>
      <x:c r="I18" s="22" t="n">
        <x:v>10</x:v>
      </x:c>
      <x:c r="J18" s="23"/>
      <x:c r="K18" s="20"/>
      <x:c r="L18" s="20"/>
      <x:c r="M18" s="20"/>
      <x:c r="N18" s="16"/>
    </x:row>
    <x:row r="19" ht="21" customHeight="1">
      <x:c r="A19" t="str">
        <x:v>P014</x:v>
      </x:c>
      <x:c r="B19" t="str">
        <x:v>과자</x:v>
      </x:c>
      <x:c r="C19" t="str">
        <x:v>빼빼로 초코</x:v>
      </x:c>
      <x:c r="D19" s="18" t="n">
        <x:v>900</x:v>
      </x:c>
      <x:c r="E19" s="18" t="n">
        <x:v>1700</x:v>
      </x:c>
      <x:c r="F19" s="22" t="n">
        <x:v>30</x:v>
      </x:c>
      <x:c r="G19" s="22" t="n">
        <x:v>15</x:v>
      </x:c>
      <x:c r="H19" s="22" t="n">
        <x:v>35</x:v>
      </x:c>
      <x:c r="I19" s="22" t="n">
        <x:v>10</x:v>
      </x:c>
      <x:c r="J19" s="23"/>
      <x:c r="K19" s="20"/>
      <x:c r="L19" s="20"/>
      <x:c r="M19" s="20"/>
      <x:c r="N19" s="16"/>
    </x:row>
    <x:row r="20" ht="21" customHeight="1">
      <x:c r="A20" t="str">
        <x:v>P015</x:v>
      </x:c>
      <x:c r="B20" t="str">
        <x:v>과자</x:v>
      </x:c>
      <x:c r="C20" t="str">
        <x:v>오징어땅콩</x:v>
      </x:c>
      <x:c r="D20" s="18" t="n">
        <x:v>1000</x:v>
      </x:c>
      <x:c r="E20" s="18" t="n">
        <x:v>1800</x:v>
      </x:c>
      <x:c r="F20" s="22" t="n">
        <x:v>20</x:v>
      </x:c>
      <x:c r="G20" s="22" t="n">
        <x:v>10</x:v>
      </x:c>
      <x:c r="H20" s="22" t="n">
        <x:v>15</x:v>
      </x:c>
      <x:c r="I20" s="22" t="n">
        <x:v>10</x:v>
      </x:c>
      <x:c r="J20" s="23"/>
      <x:c r="K20" s="20"/>
      <x:c r="L20" s="20"/>
      <x:c r="M20" s="20"/>
      <x:c r="N20" s="16"/>
    </x:row>
    <x:row r="21" ht="21" customHeight="1">
      <x:c r="A21" t="str">
        <x:v>P016</x:v>
      </x:c>
      <x:c r="B21" t="str">
        <x:v>과자</x:v>
      </x:c>
      <x:c r="C21" t="str">
        <x:v>허니버터칩</x:v>
      </x:c>
      <x:c r="D21" s="18" t="n">
        <x:v>1100</x:v>
      </x:c>
      <x:c r="E21" s="18" t="n">
        <x:v>1900</x:v>
      </x:c>
      <x:c r="F21" s="22" t="n">
        <x:v>25</x:v>
      </x:c>
      <x:c r="G21" s="22" t="n">
        <x:v>20</x:v>
      </x:c>
      <x:c r="H21" s="22" t="n">
        <x:v>40</x:v>
      </x:c>
      <x:c r="I21" s="22" t="n">
        <x:v>15</x:v>
      </x:c>
      <x:c r="J21" s="23"/>
      <x:c r="K21" s="20"/>
      <x:c r="L21" s="20"/>
      <x:c r="M21" s="20"/>
      <x:c r="N21" s="16"/>
    </x:row>
    <x:row r="22" ht="21" customHeight="1">
      <x:c r="A22" t="str">
        <x:v>P017</x:v>
      </x:c>
      <x:c r="B22" t="str">
        <x:v>라면</x:v>
      </x:c>
      <x:c r="C22" t="str">
        <x:v>신라면 컵</x:v>
      </x:c>
      <x:c r="D22" s="18" t="n">
        <x:v>900</x:v>
      </x:c>
      <x:c r="E22" s="18" t="n">
        <x:v>1500</x:v>
      </x:c>
      <x:c r="F22" s="22" t="n">
        <x:v>40</x:v>
      </x:c>
      <x:c r="G22" s="22" t="n">
        <x:v>30</x:v>
      </x:c>
      <x:c r="H22" s="22" t="n">
        <x:v>55</x:v>
      </x:c>
      <x:c r="I22" s="22" t="n">
        <x:v>20</x:v>
      </x:c>
      <x:c r="J22" s="23"/>
      <x:c r="K22" s="20"/>
      <x:c r="L22" s="20"/>
      <x:c r="M22" s="20"/>
      <x:c r="N22" s="16"/>
    </x:row>
    <x:row r="23" ht="21" customHeight="1">
      <x:c r="A23" t="str">
        <x:v>P018</x:v>
      </x:c>
      <x:c r="B23" t="str">
        <x:v>라면</x:v>
      </x:c>
      <x:c r="C23" t="str">
        <x:v>육개장 사발면</x:v>
      </x:c>
      <x:c r="D23" s="18" t="n">
        <x:v>700</x:v>
      </x:c>
      <x:c r="E23" s="18" t="n">
        <x:v>1200</x:v>
      </x:c>
      <x:c r="F23" s="22" t="n">
        <x:v>35</x:v>
      </x:c>
      <x:c r="G23" s="22" t="n">
        <x:v>30</x:v>
      </x:c>
      <x:c r="H23" s="22" t="n">
        <x:v>48</x:v>
      </x:c>
      <x:c r="I23" s="22" t="n">
        <x:v>20</x:v>
      </x:c>
      <x:c r="J23" s="23"/>
      <x:c r="K23" s="20"/>
      <x:c r="L23" s="20"/>
      <x:c r="M23" s="20"/>
      <x:c r="N23" s="16"/>
    </x:row>
    <x:row r="24" ht="21" customHeight="1">
      <x:c r="A24" t="str">
        <x:v>P019</x:v>
      </x:c>
      <x:c r="B24" t="str">
        <x:v>라면</x:v>
      </x:c>
      <x:c r="C24" t="str">
        <x:v>진라면 매운맛 컵</x:v>
      </x:c>
      <x:c r="D24" s="18" t="n">
        <x:v>800</x:v>
      </x:c>
      <x:c r="E24" s="18" t="n">
        <x:v>1400</x:v>
      </x:c>
      <x:c r="F24" s="22" t="n">
        <x:v>30</x:v>
      </x:c>
      <x:c r="G24" s="22" t="n">
        <x:v>20</x:v>
      </x:c>
      <x:c r="H24" s="22" t="n">
        <x:v>42</x:v>
      </x:c>
      <x:c r="I24" s="22" t="n">
        <x:v>15</x:v>
      </x:c>
      <x:c r="J24" s="23"/>
      <x:c r="K24" s="20"/>
      <x:c r="L24" s="20"/>
      <x:c r="M24" s="20"/>
      <x:c r="N24" s="16"/>
    </x:row>
    <x:row r="25" ht="21" customHeight="1">
      <x:c r="A25" t="str">
        <x:v>P020</x:v>
      </x:c>
      <x:c r="B25" t="str">
        <x:v>라면</x:v>
      </x:c>
      <x:c r="C25" t="str">
        <x:v>불닭볶음면 컵</x:v>
      </x:c>
      <x:c r="D25" s="18" t="n">
        <x:v>1100</x:v>
      </x:c>
      <x:c r="E25" s="18" t="n">
        <x:v>1800</x:v>
      </x:c>
      <x:c r="F25" s="22" t="n">
        <x:v>25</x:v>
      </x:c>
      <x:c r="G25" s="22" t="n">
        <x:v>20</x:v>
      </x:c>
      <x:c r="H25" s="22" t="n">
        <x:v>38</x:v>
      </x:c>
      <x:c r="I25" s="22" t="n">
        <x:v>15</x:v>
      </x:c>
      <x:c r="J25" s="23"/>
      <x:c r="K25" s="20"/>
      <x:c r="L25" s="20"/>
      <x:c r="M25" s="20"/>
      <x:c r="N25" s="16"/>
    </x:row>
    <x:row r="26" ht="21" customHeight="1">
      <x:c r="A26" t="str">
        <x:v>P021</x:v>
      </x:c>
      <x:c r="B26" t="str">
        <x:v>라면</x:v>
      </x:c>
      <x:c r="C26" t="str">
        <x:v>짜파게티 범벅</x:v>
      </x:c>
      <x:c r="D26" s="18" t="n">
        <x:v>900</x:v>
      </x:c>
      <x:c r="E26" s="18" t="n">
        <x:v>1500</x:v>
      </x:c>
      <x:c r="F26" s="22" t="n">
        <x:v>25</x:v>
      </x:c>
      <x:c r="G26" s="22" t="n">
        <x:v>15</x:v>
      </x:c>
      <x:c r="H26" s="22" t="n">
        <x:v>20</x:v>
      </x:c>
      <x:c r="I26" s="22" t="n">
        <x:v>10</x:v>
      </x:c>
      <x:c r="J26" s="23"/>
      <x:c r="K26" s="20"/>
      <x:c r="L26" s="20"/>
      <x:c r="M26" s="20"/>
      <x:c r="N26" s="16"/>
    </x:row>
    <x:row r="27" ht="21" customHeight="1">
      <x:c r="A27" t="str">
        <x:v>P022</x:v>
      </x:c>
      <x:c r="B27" t="str">
        <x:v>라면</x:v>
      </x:c>
      <x:c r="C27" t="str">
        <x:v>왕뚜껑</x:v>
      </x:c>
      <x:c r="D27" s="18" t="n">
        <x:v>1100</x:v>
      </x:c>
      <x:c r="E27" s="18" t="n">
        <x:v>1800</x:v>
      </x:c>
      <x:c r="F27" s="22" t="n">
        <x:v>30</x:v>
      </x:c>
      <x:c r="G27" s="22" t="n">
        <x:v>20</x:v>
      </x:c>
      <x:c r="H27" s="22" t="n">
        <x:v>35</x:v>
      </x:c>
      <x:c r="I27" s="22" t="n">
        <x:v>15</x:v>
      </x:c>
      <x:c r="J27" s="23"/>
      <x:c r="K27" s="20"/>
      <x:c r="L27" s="20"/>
      <x:c r="M27" s="20"/>
      <x:c r="N27" s="16"/>
    </x:row>
    <x:row r="28" ht="21" customHeight="1">
      <x:c r="A28" t="str">
        <x:v>P023</x:v>
      </x:c>
      <x:c r="B28" t="str">
        <x:v>즉석식품</x:v>
      </x:c>
      <x:c r="C28" t="str">
        <x:v>참치마요 삼각김밥</x:v>
      </x:c>
      <x:c r="D28" s="18" t="n">
        <x:v>800</x:v>
      </x:c>
      <x:c r="E28" s="18" t="n">
        <x:v>1300</x:v>
      </x:c>
      <x:c r="F28" s="22" t="n">
        <x:v>20</x:v>
      </x:c>
      <x:c r="G28" s="22" t="n">
        <x:v>20</x:v>
      </x:c>
      <x:c r="H28" s="22" t="n">
        <x:v>32</x:v>
      </x:c>
      <x:c r="I28" s="22" t="n">
        <x:v>10</x:v>
      </x:c>
      <x:c r="J28" s="23"/>
      <x:c r="K28" s="20"/>
      <x:c r="L28" s="20"/>
      <x:c r="M28" s="20"/>
      <x:c r="N28" s="16"/>
    </x:row>
    <x:row r="29" ht="21" customHeight="1">
      <x:c r="A29" t="str">
        <x:v>P024</x:v>
      </x:c>
      <x:c r="B29" t="str">
        <x:v>즉석식품</x:v>
      </x:c>
      <x:c r="C29" t="str">
        <x:v>전주비빔 삼각김밥</x:v>
      </x:c>
      <x:c r="D29" s="18" t="n">
        <x:v>800</x:v>
      </x:c>
      <x:c r="E29" s="18" t="n">
        <x:v>1300</x:v>
      </x:c>
      <x:c r="F29" s="22" t="n">
        <x:v>20</x:v>
      </x:c>
      <x:c r="G29" s="22" t="n">
        <x:v>15</x:v>
      </x:c>
      <x:c r="H29" s="22" t="n">
        <x:v>28</x:v>
      </x:c>
      <x:c r="I29" s="22" t="n">
        <x:v>10</x:v>
      </x:c>
      <x:c r="J29" s="23"/>
      <x:c r="K29" s="20"/>
      <x:c r="L29" s="20"/>
      <x:c r="M29" s="20"/>
      <x:c r="N29" s="16"/>
    </x:row>
    <x:row r="30" ht="21" customHeight="1">
      <x:c r="A30" t="str">
        <x:v>P025</x:v>
      </x:c>
      <x:c r="B30" t="str">
        <x:v>즉석식품</x:v>
      </x:c>
      <x:c r="C30" t="str">
        <x:v>햄치즈 샌드위치</x:v>
      </x:c>
      <x:c r="D30" s="18" t="n">
        <x:v>1700</x:v>
      </x:c>
      <x:c r="E30" s="18" t="n">
        <x:v>2900</x:v>
      </x:c>
      <x:c r="F30" s="22" t="n">
        <x:v>15</x:v>
      </x:c>
      <x:c r="G30" s="22" t="n">
        <x:v>10</x:v>
      </x:c>
      <x:c r="H30" s="22" t="n">
        <x:v>19</x:v>
      </x:c>
      <x:c r="I30" s="22" t="n">
        <x:v>8</x:v>
      </x:c>
      <x:c r="J30" s="23"/>
      <x:c r="K30" s="20"/>
      <x:c r="L30" s="20"/>
      <x:c r="M30" s="20"/>
      <x:c r="N30" s="16"/>
    </x:row>
    <x:row r="31" ht="21" customHeight="1">
      <x:c r="A31" t="str">
        <x:v>P026</x:v>
      </x:c>
      <x:c r="B31" t="str">
        <x:v>즉석식품</x:v>
      </x:c>
      <x:c r="C31" t="str">
        <x:v>치킨마요 도시락</x:v>
      </x:c>
      <x:c r="D31" s="18" t="n">
        <x:v>2800</x:v>
      </x:c>
      <x:c r="E31" s="18" t="n">
        <x:v>4900</x:v>
      </x:c>
      <x:c r="F31" s="22" t="n">
        <x:v>12</x:v>
      </x:c>
      <x:c r="G31" s="22" t="n">
        <x:v>10</x:v>
      </x:c>
      <x:c r="H31" s="22" t="n">
        <x:v>17</x:v>
      </x:c>
      <x:c r="I31" s="22" t="n">
        <x:v>5</x:v>
      </x:c>
      <x:c r="J31" s="23"/>
      <x:c r="K31" s="20"/>
      <x:c r="L31" s="20"/>
      <x:c r="M31" s="20"/>
      <x:c r="N31" s="16"/>
    </x:row>
    <x:row r="32" ht="21" customHeight="1">
      <x:c r="A32" t="str">
        <x:v>P027</x:v>
      </x:c>
      <x:c r="B32" t="str">
        <x:v>즉석식품</x:v>
      </x:c>
      <x:c r="C32" t="str">
        <x:v>제육볶음 도시락</x:v>
      </x:c>
      <x:c r="D32" s="18" t="n">
        <x:v>3000</x:v>
      </x:c>
      <x:c r="E32" s="18" t="n">
        <x:v>5200</x:v>
      </x:c>
      <x:c r="F32" s="22" t="n">
        <x:v>12</x:v>
      </x:c>
      <x:c r="G32" s="22" t="n">
        <x:v>10</x:v>
      </x:c>
      <x:c r="H32" s="22" t="n">
        <x:v>20</x:v>
      </x:c>
      <x:c r="I32" s="22" t="n">
        <x:v>5</x:v>
      </x:c>
      <x:c r="J32" s="23"/>
      <x:c r="K32" s="20"/>
      <x:c r="L32" s="20"/>
      <x:c r="M32" s="20"/>
      <x:c r="N32" s="16"/>
    </x:row>
    <x:row r="33" ht="21" customHeight="1">
      <x:c r="A33" t="str">
        <x:v>P028</x:v>
      </x:c>
      <x:c r="B33" t="str">
        <x:v>즉석식품</x:v>
      </x:c>
      <x:c r="C33" t="str">
        <x:v>핫바 오리지널</x:v>
      </x:c>
      <x:c r="D33" s="18" t="n">
        <x:v>1000</x:v>
      </x:c>
      <x:c r="E33" s="18" t="n">
        <x:v>2000</x:v>
      </x:c>
      <x:c r="F33" s="22" t="n">
        <x:v>25</x:v>
      </x:c>
      <x:c r="G33" s="22" t="n">
        <x:v>15</x:v>
      </x:c>
      <x:c r="H33" s="22" t="n">
        <x:v>30</x:v>
      </x:c>
      <x:c r="I33" s="22" t="n">
        <x:v>10</x:v>
      </x:c>
      <x:c r="J33" s="23"/>
      <x:c r="K33" s="20"/>
      <x:c r="L33" s="20"/>
      <x:c r="M33" s="20"/>
      <x:c r="N33" s="16"/>
    </x:row>
    <x:row r="34" ht="21" customHeight="1">
      <x:c r="A34" t="str">
        <x:v>P029</x:v>
      </x:c>
      <x:c r="B34" t="str">
        <x:v>즉석식품</x:v>
      </x:c>
      <x:c r="C34" t="str">
        <x:v>소시지 2개입</x:v>
      </x:c>
      <x:c r="D34" s="18" t="n">
        <x:v>1300</x:v>
      </x:c>
      <x:c r="E34" s="18" t="n">
        <x:v>2500</x:v>
      </x:c>
      <x:c r="F34" s="22" t="n">
        <x:v>20</x:v>
      </x:c>
      <x:c r="G34" s="22" t="n">
        <x:v>10</x:v>
      </x:c>
      <x:c r="H34" s="22" t="n">
        <x:v>24</x:v>
      </x:c>
      <x:c r="I34" s="22" t="n">
        <x:v>10</x:v>
      </x:c>
      <x:c r="J34" s="23"/>
      <x:c r="K34" s="20"/>
      <x:c r="L34" s="20"/>
      <x:c r="M34" s="20"/>
      <x:c r="N34" s="16"/>
    </x:row>
    <x:row r="35" ht="21" customHeight="1">
      <x:c r="A35" t="str">
        <x:v>P030</x:v>
      </x:c>
      <x:c r="B35" t="str">
        <x:v>즉석식품</x:v>
      </x:c>
      <x:c r="C35" t="str">
        <x:v>컵떡볶이</x:v>
      </x:c>
      <x:c r="D35" s="18" t="n">
        <x:v>1800</x:v>
      </x:c>
      <x:c r="E35" s="18" t="n">
        <x:v>3200</x:v>
      </x:c>
      <x:c r="F35" s="22" t="n">
        <x:v>15</x:v>
      </x:c>
      <x:c r="G35" s="22" t="n">
        <x:v>10</x:v>
      </x:c>
      <x:c r="H35" s="22" t="n">
        <x:v>18</x:v>
      </x:c>
      <x:c r="I35" s="22" t="n">
        <x:v>8</x:v>
      </x:c>
      <x:c r="J35" s="23"/>
      <x:c r="K35" s="20"/>
      <x:c r="L35" s="20"/>
      <x:c r="M35" s="20"/>
      <x:c r="N35" s="16"/>
    </x:row>
    <x:row r="36" ht="21" customHeight="1">
      <x:c r="A36" t="str">
        <x:v>P031</x:v>
      </x:c>
      <x:c r="B36" t="str">
        <x:v>아이스크림</x:v>
      </x:c>
      <x:c r="C36" t="str">
        <x:v>메로나</x:v>
      </x:c>
      <x:c r="D36" s="18" t="n">
        <x:v>600</x:v>
      </x:c>
      <x:c r="E36" s="18" t="n">
        <x:v>1200</x:v>
      </x:c>
      <x:c r="F36" s="22" t="n">
        <x:v>30</x:v>
      </x:c>
      <x:c r="G36" s="22" t="n">
        <x:v>20</x:v>
      </x:c>
      <x:c r="H36" s="22" t="n">
        <x:v>40</x:v>
      </x:c>
      <x:c r="I36" s="22" t="n">
        <x:v>15</x:v>
      </x:c>
      <x:c r="J36" s="23"/>
      <x:c r="K36" s="20"/>
      <x:c r="L36" s="20"/>
      <x:c r="M36" s="20"/>
      <x:c r="N36" s="16"/>
    </x:row>
    <x:row r="37" ht="21" customHeight="1">
      <x:c r="A37" t="str">
        <x:v>P032</x:v>
      </x:c>
      <x:c r="B37" t="str">
        <x:v>아이스크림</x:v>
      </x:c>
      <x:c r="C37" t="str">
        <x:v>월드콘</x:v>
      </x:c>
      <x:c r="D37" s="18" t="n">
        <x:v>1000</x:v>
      </x:c>
      <x:c r="E37" s="18" t="n">
        <x:v>2200</x:v>
      </x:c>
      <x:c r="F37" s="22" t="n">
        <x:v>25</x:v>
      </x:c>
      <x:c r="G37" s="22" t="n">
        <x:v>15</x:v>
      </x:c>
      <x:c r="H37" s="22" t="n">
        <x:v>28</x:v>
      </x:c>
      <x:c r="I37" s="22" t="n">
        <x:v>10</x:v>
      </x:c>
      <x:c r="J37" s="23"/>
      <x:c r="K37" s="20"/>
      <x:c r="L37" s="20"/>
      <x:c r="M37" s="20"/>
      <x:c r="N37" s="16"/>
    </x:row>
    <x:row r="38" ht="21" customHeight="1">
      <x:c r="A38" t="str">
        <x:v>P033</x:v>
      </x:c>
      <x:c r="B38" t="str">
        <x:v>아이스크림</x:v>
      </x:c>
      <x:c r="C38" t="str">
        <x:v>비비빅</x:v>
      </x:c>
      <x:c r="D38" s="18" t="n">
        <x:v>600</x:v>
      </x:c>
      <x:c r="E38" s="18" t="n">
        <x:v>1200</x:v>
      </x:c>
      <x:c r="F38" s="22" t="n">
        <x:v>20</x:v>
      </x:c>
      <x:c r="G38" s="22" t="n">
        <x:v>15</x:v>
      </x:c>
      <x:c r="H38" s="22" t="n">
        <x:v>25</x:v>
      </x:c>
      <x:c r="I38" s="22" t="n">
        <x:v>10</x:v>
      </x:c>
      <x:c r="J38" s="23"/>
      <x:c r="K38" s="20"/>
      <x:c r="L38" s="20"/>
      <x:c r="M38" s="20"/>
      <x:c r="N38" s="16"/>
    </x:row>
    <x:row r="39" ht="21" customHeight="1">
      <x:c r="A39" t="str">
        <x:v>P034</x:v>
      </x:c>
      <x:c r="B39" t="str">
        <x:v>아이스크림</x:v>
      </x:c>
      <x:c r="C39" t="str">
        <x:v>돼지바</x:v>
      </x:c>
      <x:c r="D39" s="18" t="n">
        <x:v>700</x:v>
      </x:c>
      <x:c r="E39" s="18" t="n">
        <x:v>1500</x:v>
      </x:c>
      <x:c r="F39" s="22" t="n">
        <x:v>30</x:v>
      </x:c>
      <x:c r="G39" s="22" t="n">
        <x:v>20</x:v>
      </x:c>
      <x:c r="H39" s="22" t="n">
        <x:v>42</x:v>
      </x:c>
      <x:c r="I39" s="22" t="n">
        <x:v>15</x:v>
      </x:c>
      <x:c r="J39" s="23"/>
      <x:c r="K39" s="20"/>
      <x:c r="L39" s="20"/>
      <x:c r="M39" s="20"/>
      <x:c r="N39" s="16"/>
    </x:row>
    <x:row r="40" ht="21" customHeight="1">
      <x:c r="A40" t="str">
        <x:v>P035</x:v>
      </x:c>
      <x:c r="B40" t="str">
        <x:v>생활용품</x:v>
      </x:c>
      <x:c r="C40" t="str">
        <x:v>휴대용 티슈</x:v>
      </x:c>
      <x:c r="D40" s="18" t="n">
        <x:v>500</x:v>
      </x:c>
      <x:c r="E40" s="18" t="n">
        <x:v>1000</x:v>
      </x:c>
      <x:c r="F40" s="22" t="n">
        <x:v>20</x:v>
      </x:c>
      <x:c r="G40" s="22" t="n">
        <x:v>10</x:v>
      </x:c>
      <x:c r="H40" s="22" t="n">
        <x:v>15</x:v>
      </x:c>
      <x:c r="I40" s="22" t="n">
        <x:v>10</x:v>
      </x:c>
      <x:c r="J40" s="23"/>
      <x:c r="K40" s="20"/>
      <x:c r="L40" s="20"/>
      <x:c r="M40" s="20"/>
      <x:c r="N40" s="16"/>
    </x:row>
    <x:row r="41" ht="21" customHeight="1">
      <x:c r="A41" t="str">
        <x:v>P036</x:v>
      </x:c>
      <x:c r="B41" t="str">
        <x:v>생활용품</x:v>
      </x:c>
      <x:c r="C41" t="str">
        <x:v>물티슈 20매</x:v>
      </x:c>
      <x:c r="D41" s="18" t="n">
        <x:v>900</x:v>
      </x:c>
      <x:c r="E41" s="18" t="n">
        <x:v>1800</x:v>
      </x:c>
      <x:c r="F41" s="22" t="n">
        <x:v>20</x:v>
      </x:c>
      <x:c r="G41" s="22" t="n">
        <x:v>10</x:v>
      </x:c>
      <x:c r="H41" s="22" t="n">
        <x:v>22</x:v>
      </x:c>
      <x:c r="I41" s="22" t="n">
        <x:v>10</x:v>
      </x:c>
      <x:c r="J41" s="23"/>
      <x:c r="K41" s="20"/>
      <x:c r="L41" s="20"/>
      <x:c r="M41" s="20"/>
      <x:c r="N41" s="16"/>
    </x:row>
    <x:row r="42" ht="21" customHeight="1">
      <x:c r="A42" t="str">
        <x:v>P037</x:v>
      </x:c>
      <x:c r="B42" t="str">
        <x:v>생활용품</x:v>
      </x:c>
      <x:c r="C42" t="str">
        <x:v>일회용 칫솔</x:v>
      </x:c>
      <x:c r="D42" s="18" t="n">
        <x:v>700</x:v>
      </x:c>
      <x:c r="E42" s="18" t="n">
        <x:v>1500</x:v>
      </x:c>
      <x:c r="F42" s="22" t="n">
        <x:v>15</x:v>
      </x:c>
      <x:c r="G42" s="22" t="n">
        <x:v>10</x:v>
      </x:c>
      <x:c r="H42" s="22" t="n">
        <x:v>12</x:v>
      </x:c>
      <x:c r="I42" s="22" t="n">
        <x:v>5</x:v>
      </x:c>
      <x:c r="J42" s="23"/>
      <x:c r="K42" s="20"/>
      <x:c r="L42" s="20"/>
      <x:c r="M42" s="20"/>
      <x:c r="N42" s="16"/>
    </x:row>
    <x:row r="43" ht="21" customHeight="1">
      <x:c r="A43" t="str">
        <x:v>P038</x:v>
      </x:c>
      <x:c r="B43" t="str">
        <x:v>생활용품</x:v>
      </x:c>
      <x:c r="C43" t="str">
        <x:v>AA 건전지 2개입</x:v>
      </x:c>
      <x:c r="D43" s="18" t="n">
        <x:v>1500</x:v>
      </x:c>
      <x:c r="E43" s="18" t="n">
        <x:v>3000</x:v>
      </x:c>
      <x:c r="F43" s="22" t="n">
        <x:v>15</x:v>
      </x:c>
      <x:c r="G43" s="22" t="n">
        <x:v>5</x:v>
      </x:c>
      <x:c r="H43" s="22" t="n">
        <x:v>8</x:v>
      </x:c>
      <x:c r="I43" s="22" t="n">
        <x:v>5</x:v>
      </x:c>
      <x:c r="J43" s="23"/>
      <x:c r="K43" s="20"/>
      <x:c r="L43" s="20"/>
      <x:c r="M43" s="20"/>
      <x:c r="N43" s="16"/>
    </x:row>
    <x:row r="44" ht="21" customHeight="1">
      <x:c r="A44" t="str">
        <x:v>P039</x:v>
      </x:c>
      <x:c r="B44" t="str">
        <x:v>생활용품</x:v>
      </x:c>
      <x:c r="C44" t="str">
        <x:v>일회용 우산</x:v>
      </x:c>
      <x:c r="D44" s="18" t="n">
        <x:v>3000</x:v>
      </x:c>
      <x:c r="E44" s="18" t="n">
        <x:v>6000</x:v>
      </x:c>
      <x:c r="F44" s="22" t="n">
        <x:v>15</x:v>
      </x:c>
      <x:c r="G44" s="22" t="n">
        <x:v>10</x:v>
      </x:c>
      <x:c r="H44" s="22" t="n">
        <x:v>18</x:v>
      </x:c>
      <x:c r="I44" s="22" t="n">
        <x:v>5</x:v>
      </x:c>
      <x:c r="J44" s="23"/>
      <x:c r="K44" s="20"/>
      <x:c r="L44" s="20"/>
      <x:c r="M44" s="20"/>
      <x:c r="N44" s="16"/>
    </x:row>
    <x:row r="45" ht="21" customHeight="1">
      <x:c r="A45" t="str">
        <x:v>P040</x:v>
      </x:c>
      <x:c r="B45" t="str">
        <x:v>생활용품</x:v>
      </x:c>
      <x:c r="C45" t="str">
        <x:v>종이컵 10개입</x:v>
      </x:c>
      <x:c r="D45" s="18" t="n">
        <x:v>700</x:v>
      </x:c>
      <x:c r="E45" s="18" t="n">
        <x:v>1500</x:v>
      </x:c>
      <x:c r="F45" s="22" t="n">
        <x:v>20</x:v>
      </x:c>
      <x:c r="G45" s="22" t="n">
        <x:v>10</x:v>
      </x:c>
      <x:c r="H45" s="22" t="n">
        <x:v>12</x:v>
      </x:c>
      <x:c r="I45" s="22" t="n">
        <x:v>5</x:v>
      </x:c>
      <x:c r="J45" s="23"/>
      <x:c r="K45" s="20"/>
      <x:c r="L45" s="20"/>
      <x:c r="M45" s="20"/>
      <x:c r="N45" s="16"/>
    </x:row>
    <x:row r="47">
      <x:c r="A47" s="27" t="str">
        <x:v>합계</x:v>
      </x:c>
      <x:c r="B47" s="27"/>
      <x:c r="C47" s="27"/>
      <x:c r="D47" s="27"/>
      <x:c r="E47" s="27"/>
      <x:c r="F47" s="27"/>
      <x:c r="G47" s="27"/>
      <x:c r="H47" s="27"/>
      <x:c r="I47" s="27"/>
      <x:c r="J47" s="30"/>
      <x:c r="K47" s="30"/>
      <x:c r="L47" s="30"/>
      <x:c r="M47" s="30"/>
      <x:c r="N47" s="27"/>
    </x:row>
    <x:row r="49">
      <x:c r="A49" t="str">
        <x:v>실습 과제: 수식 계산 → 아래로 자동 채우기 → 발주필요 필터 → 조건부서식 → 합계 확인</x:v>
      </x:c>
    </x:row>
  </x:sheetData>
  <x:mergeCells>
    <x:mergeCell ref="A1:N2"/>
    <x:mergeCell ref="A3:N3"/>
    <x:mergeCell ref="A49:N49"/>
  </x:mergeCells>
  <x:pageMargins left="0.7" right="0.7" top="0.75" bottom="0.75" header="0.3" footer="0.3"/>
  <x:tableParts count="1">
    <x:tablePart xmlns:r="http://schemas.openxmlformats.org/officeDocument/2006/relationships" r:id="Rde4d64a0d3df4d9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5" customHeight="1">
      <x:c r="A1" s="3" t="str">
        <x:v>편의점 상품 재고관리 | 완성 예시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7" customHeight="1">
      <x:c r="A3" s="7" t="str">
        <x:v>계산 열(J~N)에 수식이 적용된 정답 시트입니다.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29" customHeight="1">
      <x:c r="A5" s="12" t="str">
        <x:v>상품코드</x:v>
      </x:c>
      <x:c r="B5" s="12" t="str">
        <x:v>분류</x:v>
      </x:c>
      <x:c r="C5" s="12" t="str">
        <x:v>상품명</x:v>
      </x:c>
      <x:c r="D5" s="12" t="str">
        <x:v>매입단가</x:v>
      </x:c>
      <x:c r="E5" s="12" t="str">
        <x:v>판매단가</x:v>
      </x:c>
      <x:c r="F5" s="12" t="str">
        <x:v>초기재고</x:v>
      </x:c>
      <x:c r="G5" s="12" t="str">
        <x:v>입고량</x:v>
      </x:c>
      <x:c r="H5" s="12" t="str">
        <x:v>판매량</x:v>
      </x:c>
      <x:c r="I5" s="12" t="str">
        <x:v>안전재고</x:v>
      </x:c>
      <x:c r="J5" s="12" t="str">
        <x:v>현재고</x:v>
      </x:c>
      <x:c r="K5" s="12" t="str">
        <x:v>재고금액</x:v>
      </x:c>
      <x:c r="L5" s="12" t="str">
        <x:v>판매금액</x:v>
      </x:c>
      <x:c r="M5" s="12" t="str">
        <x:v>판매이익</x:v>
      </x:c>
      <x:c r="N5" s="12" t="str">
        <x:v>재고상태</x:v>
      </x:c>
    </x:row>
    <x:row r="6" ht="21" customHeight="1">
      <x:c r="A6" t="str">
        <x:v>P001</x:v>
      </x:c>
      <x:c r="B6" t="str">
        <x:v>음료</x:v>
      </x:c>
      <x:c r="C6" t="str">
        <x:v>코카콜라 500ml</x:v>
      </x:c>
      <x:c r="D6" s="18" t="n">
        <x:v>1200</x:v>
      </x:c>
      <x:c r="E6" s="18" t="n">
        <x:v>2200</x:v>
      </x:c>
      <x:c r="F6" s="22" t="n">
        <x:v>30</x:v>
      </x:c>
      <x:c r="G6" s="22" t="n">
        <x:v>20</x:v>
      </x:c>
      <x:c r="H6" s="22" t="n">
        <x:v>35</x:v>
      </x:c>
      <x:c r="I6" s="22" t="n">
        <x:v>15</x:v>
      </x:c>
      <x:c r="J6" s="23" t="n">
        <x:f>F6+G6-H6</x:f>
        <x:v>15</x:v>
      </x:c>
      <x:c r="K6" s="20" t="n">
        <x:f>J6*D6</x:f>
        <x:v>18000</x:v>
      </x:c>
      <x:c r="L6" s="20" t="n">
        <x:f>H6*E6</x:f>
        <x:v>77000</x:v>
      </x:c>
      <x:c r="M6" s="20" t="n">
        <x:f>H6*(E6-D6)</x:f>
        <x:v>35000</x:v>
      </x:c>
      <x:c r="N6" s="16" t="str">
        <x:f>IF(J6&lt;=I6,"발주필요","정상")</x:f>
        <x:v>발주필요</x:v>
      </x:c>
    </x:row>
    <x:row r="7" ht="21" customHeight="1">
      <x:c r="A7" t="str">
        <x:v>P002</x:v>
      </x:c>
      <x:c r="B7" t="str">
        <x:v>음료</x:v>
      </x:c>
      <x:c r="C7" t="str">
        <x:v>펩시콜라 500ml</x:v>
      </x:c>
      <x:c r="D7" s="18" t="n">
        <x:v>1000</x:v>
      </x:c>
      <x:c r="E7" s="18" t="n">
        <x:v>2000</x:v>
      </x:c>
      <x:c r="F7" s="22" t="n">
        <x:v>25</x:v>
      </x:c>
      <x:c r="G7" s="22" t="n">
        <x:v>20</x:v>
      </x:c>
      <x:c r="H7" s="22" t="n">
        <x:v>30</x:v>
      </x:c>
      <x:c r="I7" s="22" t="n">
        <x:v>15</x:v>
      </x:c>
      <x:c r="J7" s="23" t="n">
        <x:f>F7+G7-H7</x:f>
        <x:v>15</x:v>
      </x:c>
      <x:c r="K7" s="20" t="n">
        <x:f>J7*D7</x:f>
        <x:v>15000</x:v>
      </x:c>
      <x:c r="L7" s="20" t="n">
        <x:f>H7*E7</x:f>
        <x:v>60000</x:v>
      </x:c>
      <x:c r="M7" s="20" t="n">
        <x:f>H7*(E7-D7)</x:f>
        <x:v>30000</x:v>
      </x:c>
      <x:c r="N7" s="16" t="str">
        <x:f>IF(J7&lt;=I7,"발주필요","정상")</x:f>
        <x:v>발주필요</x:v>
      </x:c>
    </x:row>
    <x:row r="8" ht="21" customHeight="1">
      <x:c r="A8" t="str">
        <x:v>P003</x:v>
      </x:c>
      <x:c r="B8" t="str">
        <x:v>음료</x:v>
      </x:c>
      <x:c r="C8" t="str">
        <x:v>칠성사이다 500ml</x:v>
      </x:c>
      <x:c r="D8" s="18" t="n">
        <x:v>1200</x:v>
      </x:c>
      <x:c r="E8" s="18" t="n">
        <x:v>2200</x:v>
      </x:c>
      <x:c r="F8" s="22" t="n">
        <x:v>20</x:v>
      </x:c>
      <x:c r="G8" s="22" t="n">
        <x:v>20</x:v>
      </x:c>
      <x:c r="H8" s="22" t="n">
        <x:v>28</x:v>
      </x:c>
      <x:c r="I8" s="22" t="n">
        <x:v>15</x:v>
      </x:c>
      <x:c r="J8" s="23" t="n">
        <x:f>F8+G8-H8</x:f>
        <x:v>12</x:v>
      </x:c>
      <x:c r="K8" s="20" t="n">
        <x:f>J8*D8</x:f>
        <x:v>14400</x:v>
      </x:c>
      <x:c r="L8" s="20" t="n">
        <x:f>H8*E8</x:f>
        <x:v>61600</x:v>
      </x:c>
      <x:c r="M8" s="20" t="n">
        <x:f>H8*(E8-D8)</x:f>
        <x:v>28000</x:v>
      </x:c>
      <x:c r="N8" s="16" t="str">
        <x:f>IF(J8&lt;=I8,"발주필요","정상")</x:f>
        <x:v>발주필요</x:v>
      </x:c>
    </x:row>
    <x:row r="9" ht="21" customHeight="1">
      <x:c r="A9" t="str">
        <x:v>P004</x:v>
      </x:c>
      <x:c r="B9" t="str">
        <x:v>음료</x:v>
      </x:c>
      <x:c r="C9" t="str">
        <x:v>삼다수 500ml</x:v>
      </x:c>
      <x:c r="D9" s="18" t="n">
        <x:v>500</x:v>
      </x:c>
      <x:c r="E9" s="18" t="n">
        <x:v>1000</x:v>
      </x:c>
      <x:c r="F9" s="22" t="n">
        <x:v>40</x:v>
      </x:c>
      <x:c r="G9" s="22" t="n">
        <x:v>30</x:v>
      </x:c>
      <x:c r="H9" s="22" t="n">
        <x:v>55</x:v>
      </x:c>
      <x:c r="I9" s="22" t="n">
        <x:v>20</x:v>
      </x:c>
      <x:c r="J9" s="23" t="n">
        <x:f>F9+G9-H9</x:f>
        <x:v>15</x:v>
      </x:c>
      <x:c r="K9" s="20" t="n">
        <x:f>J9*D9</x:f>
        <x:v>7500</x:v>
      </x:c>
      <x:c r="L9" s="20" t="n">
        <x:f>H9*E9</x:f>
        <x:v>55000</x:v>
      </x:c>
      <x:c r="M9" s="20" t="n">
        <x:f>H9*(E9-D9)</x:f>
        <x:v>27500</x:v>
      </x:c>
      <x:c r="N9" s="16" t="str">
        <x:f>IF(J9&lt;=I9,"발주필요","정상")</x:f>
        <x:v>발주필요</x:v>
      </x:c>
    </x:row>
    <x:row r="10" ht="21" customHeight="1">
      <x:c r="A10" t="str">
        <x:v>P005</x:v>
      </x:c>
      <x:c r="B10" t="str">
        <x:v>음료</x:v>
      </x:c>
      <x:c r="C10" t="str">
        <x:v>레쓰비 마일드</x:v>
      </x:c>
      <x:c r="D10" s="18" t="n">
        <x:v>600</x:v>
      </x:c>
      <x:c r="E10" s="18" t="n">
        <x:v>1200</x:v>
      </x:c>
      <x:c r="F10" s="22" t="n">
        <x:v>35</x:v>
      </x:c>
      <x:c r="G10" s="22" t="n">
        <x:v>20</x:v>
      </x:c>
      <x:c r="H10" s="22" t="n">
        <x:v>42</x:v>
      </x:c>
      <x:c r="I10" s="22" t="n">
        <x:v>15</x:v>
      </x:c>
      <x:c r="J10" s="23" t="n">
        <x:f>F10+G10-H10</x:f>
        <x:v>13</x:v>
      </x:c>
      <x:c r="K10" s="20" t="n">
        <x:f>J10*D10</x:f>
        <x:v>7800</x:v>
      </x:c>
      <x:c r="L10" s="20" t="n">
        <x:f>H10*E10</x:f>
        <x:v>50400</x:v>
      </x:c>
      <x:c r="M10" s="20" t="n">
        <x:f>H10*(E10-D10)</x:f>
        <x:v>25200</x:v>
      </x:c>
      <x:c r="N10" s="16" t="str">
        <x:f>IF(J10&lt;=I10,"발주필요","정상")</x:f>
        <x:v>발주필요</x:v>
      </x:c>
    </x:row>
    <x:row r="11" ht="21" customHeight="1">
      <x:c r="A11" t="str">
        <x:v>P006</x:v>
      </x:c>
      <x:c r="B11" t="str">
        <x:v>음료</x:v>
      </x:c>
      <x:c r="C11" t="str">
        <x:v>바나나맛우유</x:v>
      </x:c>
      <x:c r="D11" s="18" t="n">
        <x:v>1000</x:v>
      </x:c>
      <x:c r="E11" s="18" t="n">
        <x:v>1800</x:v>
      </x:c>
      <x:c r="F11" s="22" t="n">
        <x:v>25</x:v>
      </x:c>
      <x:c r="G11" s="22" t="n">
        <x:v>15</x:v>
      </x:c>
      <x:c r="H11" s="22" t="n">
        <x:v>32</x:v>
      </x:c>
      <x:c r="I11" s="22" t="n">
        <x:v>15</x:v>
      </x:c>
      <x:c r="J11" s="23" t="n">
        <x:f>F11+G11-H11</x:f>
        <x:v>8</x:v>
      </x:c>
      <x:c r="K11" s="20" t="n">
        <x:f>J11*D11</x:f>
        <x:v>8000</x:v>
      </x:c>
      <x:c r="L11" s="20" t="n">
        <x:f>H11*E11</x:f>
        <x:v>57600</x:v>
      </x:c>
      <x:c r="M11" s="20" t="n">
        <x:f>H11*(E11-D11)</x:f>
        <x:v>25600</x:v>
      </x:c>
      <x:c r="N11" s="16" t="str">
        <x:f>IF(J11&lt;=I11,"발주필요","정상")</x:f>
        <x:v>발주필요</x:v>
      </x:c>
    </x:row>
    <x:row r="12" ht="21" customHeight="1">
      <x:c r="A12" t="str">
        <x:v>P007</x:v>
      </x:c>
      <x:c r="B12" t="str">
        <x:v>음료</x:v>
      </x:c>
      <x:c r="C12" t="str">
        <x:v>포카리스웨트 500ml</x:v>
      </x:c>
      <x:c r="D12" s="18" t="n">
        <x:v>1300</x:v>
      </x:c>
      <x:c r="E12" s="18" t="n">
        <x:v>2300</x:v>
      </x:c>
      <x:c r="F12" s="22" t="n">
        <x:v>25</x:v>
      </x:c>
      <x:c r="G12" s="22" t="n">
        <x:v>20</x:v>
      </x:c>
      <x:c r="H12" s="22" t="n">
        <x:v>18</x:v>
      </x:c>
      <x:c r="I12" s="22" t="n">
        <x:v>15</x:v>
      </x:c>
      <x:c r="J12" s="23" t="n">
        <x:f>F12+G12-H12</x:f>
        <x:v>27</x:v>
      </x:c>
      <x:c r="K12" s="20" t="n">
        <x:f>J12*D12</x:f>
        <x:v>35100</x:v>
      </x:c>
      <x:c r="L12" s="20" t="n">
        <x:f>H12*E12</x:f>
        <x:v>41400</x:v>
      </x:c>
      <x:c r="M12" s="20" t="n">
        <x:f>H12*(E12-D12)</x:f>
        <x:v>18000</x:v>
      </x:c>
      <x:c r="N12" s="16" t="str">
        <x:f>IF(J12&lt;=I12,"발주필요","정상")</x:f>
        <x:v>정상</x:v>
      </x:c>
    </x:row>
    <x:row r="13" ht="21" customHeight="1">
      <x:c r="A13" t="str">
        <x:v>P008</x:v>
      </x:c>
      <x:c r="B13" t="str">
        <x:v>음료</x:v>
      </x:c>
      <x:c r="C13" t="str">
        <x:v>몬스터 에너지</x:v>
      </x:c>
      <x:c r="D13" s="18" t="n">
        <x:v>1700</x:v>
      </x:c>
      <x:c r="E13" s="18" t="n">
        <x:v>3000</x:v>
      </x:c>
      <x:c r="F13" s="22" t="n">
        <x:v>20</x:v>
      </x:c>
      <x:c r="G13" s="22" t="n">
        <x:v>15</x:v>
      </x:c>
      <x:c r="H13" s="22" t="n">
        <x:v>25</x:v>
      </x:c>
      <x:c r="I13" s="22" t="n">
        <x:v>10</x:v>
      </x:c>
      <x:c r="J13" s="23" t="n">
        <x:f>F13+G13-H13</x:f>
        <x:v>10</x:v>
      </x:c>
      <x:c r="K13" s="20" t="n">
        <x:f>J13*D13</x:f>
        <x:v>17000</x:v>
      </x:c>
      <x:c r="L13" s="20" t="n">
        <x:f>H13*E13</x:f>
        <x:v>75000</x:v>
      </x:c>
      <x:c r="M13" s="20" t="n">
        <x:f>H13*(E13-D13)</x:f>
        <x:v>32500</x:v>
      </x:c>
      <x:c r="N13" s="16" t="str">
        <x:f>IF(J13&lt;=I13,"발주필요","정상")</x:f>
        <x:v>발주필요</x:v>
      </x:c>
    </x:row>
    <x:row r="14" ht="21" customHeight="1">
      <x:c r="A14" t="str">
        <x:v>P009</x:v>
      </x:c>
      <x:c r="B14" t="str">
        <x:v>과자</x:v>
      </x:c>
      <x:c r="C14" t="str">
        <x:v>새우깡</x:v>
      </x:c>
      <x:c r="D14" s="18" t="n">
        <x:v>900</x:v>
      </x:c>
      <x:c r="E14" s="18" t="n">
        <x:v>1500</x:v>
      </x:c>
      <x:c r="F14" s="22" t="n">
        <x:v>30</x:v>
      </x:c>
      <x:c r="G14" s="22" t="n">
        <x:v>20</x:v>
      </x:c>
      <x:c r="H14" s="22" t="n">
        <x:v>38</x:v>
      </x:c>
      <x:c r="I14" s="22" t="n">
        <x:v>15</x:v>
      </x:c>
      <x:c r="J14" s="23" t="n">
        <x:f>F14+G14-H14</x:f>
        <x:v>12</x:v>
      </x:c>
      <x:c r="K14" s="20" t="n">
        <x:f>J14*D14</x:f>
        <x:v>10800</x:v>
      </x:c>
      <x:c r="L14" s="20" t="n">
        <x:f>H14*E14</x:f>
        <x:v>57000</x:v>
      </x:c>
      <x:c r="M14" s="20" t="n">
        <x:f>H14*(E14-D14)</x:f>
        <x:v>22800</x:v>
      </x:c>
      <x:c r="N14" s="16" t="str">
        <x:f>IF(J14&lt;=I14,"발주필요","정상")</x:f>
        <x:v>발주필요</x:v>
      </x:c>
    </x:row>
    <x:row r="15" ht="21" customHeight="1">
      <x:c r="A15" t="str">
        <x:v>P010</x:v>
      </x:c>
      <x:c r="B15" t="str">
        <x:v>과자</x:v>
      </x:c>
      <x:c r="C15" t="str">
        <x:v>포카칩 오리지널</x:v>
      </x:c>
      <x:c r="D15" s="18" t="n">
        <x:v>1000</x:v>
      </x:c>
      <x:c r="E15" s="18" t="n">
        <x:v>1700</x:v>
      </x:c>
      <x:c r="F15" s="22" t="n">
        <x:v>25</x:v>
      </x:c>
      <x:c r="G15" s="22" t="n">
        <x:v>15</x:v>
      </x:c>
      <x:c r="H15" s="22" t="n">
        <x:v>29</x:v>
      </x:c>
      <x:c r="I15" s="22" t="n">
        <x:v>10</x:v>
      </x:c>
      <x:c r="J15" s="23" t="n">
        <x:f>F15+G15-H15</x:f>
        <x:v>11</x:v>
      </x:c>
      <x:c r="K15" s="20" t="n">
        <x:f>J15*D15</x:f>
        <x:v>11000</x:v>
      </x:c>
      <x:c r="L15" s="20" t="n">
        <x:f>H15*E15</x:f>
        <x:v>49300</x:v>
      </x:c>
      <x:c r="M15" s="20" t="n">
        <x:f>H15*(E15-D15)</x:f>
        <x:v>20300</x:v>
      </x:c>
      <x:c r="N15" s="16" t="str">
        <x:f>IF(J15&lt;=I15,"발주필요","정상")</x:f>
        <x:v>정상</x:v>
      </x:c>
    </x:row>
    <x:row r="16" ht="21" customHeight="1">
      <x:c r="A16" t="str">
        <x:v>P011</x:v>
      </x:c>
      <x:c r="B16" t="str">
        <x:v>과자</x:v>
      </x:c>
      <x:c r="C16" t="str">
        <x:v>꼬깔콘 고소한맛</x:v>
      </x:c>
      <x:c r="D16" s="18" t="n">
        <x:v>1000</x:v>
      </x:c>
      <x:c r="E16" s="18" t="n">
        <x:v>1700</x:v>
      </x:c>
      <x:c r="F16" s="22" t="n">
        <x:v>20</x:v>
      </x:c>
      <x:c r="G16" s="22" t="n">
        <x:v>15</x:v>
      </x:c>
      <x:c r="H16" s="22" t="n">
        <x:v>26</x:v>
      </x:c>
      <x:c r="I16" s="22" t="n">
        <x:v>10</x:v>
      </x:c>
      <x:c r="J16" s="23" t="n">
        <x:f>F16+G16-H16</x:f>
        <x:v>9</x:v>
      </x:c>
      <x:c r="K16" s="20" t="n">
        <x:f>J16*D16</x:f>
        <x:v>9000</x:v>
      </x:c>
      <x:c r="L16" s="20" t="n">
        <x:f>H16*E16</x:f>
        <x:v>44200</x:v>
      </x:c>
      <x:c r="M16" s="20" t="n">
        <x:f>H16*(E16-D16)</x:f>
        <x:v>18200</x:v>
      </x:c>
      <x:c r="N16" s="16" t="str">
        <x:f>IF(J16&lt;=I16,"발주필요","정상")</x:f>
        <x:v>발주필요</x:v>
      </x:c>
    </x:row>
    <x:row r="17" ht="21" customHeight="1">
      <x:c r="A17" t="str">
        <x:v>P012</x:v>
      </x:c>
      <x:c r="B17" t="str">
        <x:v>과자</x:v>
      </x:c>
      <x:c r="C17" t="str">
        <x:v>초코파이 6개입</x:v>
      </x:c>
      <x:c r="D17" s="18" t="n">
        <x:v>2200</x:v>
      </x:c>
      <x:c r="E17" s="18" t="n">
        <x:v>3500</x:v>
      </x:c>
      <x:c r="F17" s="22" t="n">
        <x:v>15</x:v>
      </x:c>
      <x:c r="G17" s="22" t="n">
        <x:v>10</x:v>
      </x:c>
      <x:c r="H17" s="22" t="n">
        <x:v>18</x:v>
      </x:c>
      <x:c r="I17" s="22" t="n">
        <x:v>10</x:v>
      </x:c>
      <x:c r="J17" s="23" t="n">
        <x:f>F17+G17-H17</x:f>
        <x:v>7</x:v>
      </x:c>
      <x:c r="K17" s="20" t="n">
        <x:f>J17*D17</x:f>
        <x:v>15400</x:v>
      </x:c>
      <x:c r="L17" s="20" t="n">
        <x:f>H17*E17</x:f>
        <x:v>63000</x:v>
      </x:c>
      <x:c r="M17" s="20" t="n">
        <x:f>H17*(E17-D17)</x:f>
        <x:v>23400</x:v>
      </x:c>
      <x:c r="N17" s="16" t="str">
        <x:f>IF(J17&lt;=I17,"발주필요","정상")</x:f>
        <x:v>발주필요</x:v>
      </x:c>
    </x:row>
    <x:row r="18" ht="21" customHeight="1">
      <x:c r="A18" t="str">
        <x:v>P013</x:v>
      </x:c>
      <x:c r="B18" t="str">
        <x:v>과자</x:v>
      </x:c>
      <x:c r="C18" t="str">
        <x:v>홈런볼</x:v>
      </x:c>
      <x:c r="D18" s="18" t="n">
        <x:v>1100</x:v>
      </x:c>
      <x:c r="E18" s="18" t="n">
        <x:v>1800</x:v>
      </x:c>
      <x:c r="F18" s="22" t="n">
        <x:v>25</x:v>
      </x:c>
      <x:c r="G18" s="22" t="n">
        <x:v>20</x:v>
      </x:c>
      <x:c r="H18" s="22" t="n">
        <x:v>32</x:v>
      </x:c>
      <x:c r="I18" s="22" t="n">
        <x:v>10</x:v>
      </x:c>
      <x:c r="J18" s="23" t="n">
        <x:f>F18+G18-H18</x:f>
        <x:v>13</x:v>
      </x:c>
      <x:c r="K18" s="20" t="n">
        <x:f>J18*D18</x:f>
        <x:v>14300</x:v>
      </x:c>
      <x:c r="L18" s="20" t="n">
        <x:f>H18*E18</x:f>
        <x:v>57600</x:v>
      </x:c>
      <x:c r="M18" s="20" t="n">
        <x:f>H18*(E18-D18)</x:f>
        <x:v>22400</x:v>
      </x:c>
      <x:c r="N18" s="16" t="str">
        <x:f>IF(J18&lt;=I18,"발주필요","정상")</x:f>
        <x:v>정상</x:v>
      </x:c>
    </x:row>
    <x:row r="19" ht="21" customHeight="1">
      <x:c r="A19" t="str">
        <x:v>P014</x:v>
      </x:c>
      <x:c r="B19" t="str">
        <x:v>과자</x:v>
      </x:c>
      <x:c r="C19" t="str">
        <x:v>빼빼로 초코</x:v>
      </x:c>
      <x:c r="D19" s="18" t="n">
        <x:v>900</x:v>
      </x:c>
      <x:c r="E19" s="18" t="n">
        <x:v>1700</x:v>
      </x:c>
      <x:c r="F19" s="22" t="n">
        <x:v>30</x:v>
      </x:c>
      <x:c r="G19" s="22" t="n">
        <x:v>15</x:v>
      </x:c>
      <x:c r="H19" s="22" t="n">
        <x:v>35</x:v>
      </x:c>
      <x:c r="I19" s="22" t="n">
        <x:v>10</x:v>
      </x:c>
      <x:c r="J19" s="23" t="n">
        <x:f>F19+G19-H19</x:f>
        <x:v>10</x:v>
      </x:c>
      <x:c r="K19" s="20" t="n">
        <x:f>J19*D19</x:f>
        <x:v>9000</x:v>
      </x:c>
      <x:c r="L19" s="20" t="n">
        <x:f>H19*E19</x:f>
        <x:v>59500</x:v>
      </x:c>
      <x:c r="M19" s="20" t="n">
        <x:f>H19*(E19-D19)</x:f>
        <x:v>28000</x:v>
      </x:c>
      <x:c r="N19" s="16" t="str">
        <x:f>IF(J19&lt;=I19,"발주필요","정상")</x:f>
        <x:v>발주필요</x:v>
      </x:c>
    </x:row>
    <x:row r="20" ht="21" customHeight="1">
      <x:c r="A20" t="str">
        <x:v>P015</x:v>
      </x:c>
      <x:c r="B20" t="str">
        <x:v>과자</x:v>
      </x:c>
      <x:c r="C20" t="str">
        <x:v>오징어땅콩</x:v>
      </x:c>
      <x:c r="D20" s="18" t="n">
        <x:v>1000</x:v>
      </x:c>
      <x:c r="E20" s="18" t="n">
        <x:v>1800</x:v>
      </x:c>
      <x:c r="F20" s="22" t="n">
        <x:v>20</x:v>
      </x:c>
      <x:c r="G20" s="22" t="n">
        <x:v>10</x:v>
      </x:c>
      <x:c r="H20" s="22" t="n">
        <x:v>15</x:v>
      </x:c>
      <x:c r="I20" s="22" t="n">
        <x:v>10</x:v>
      </x:c>
      <x:c r="J20" s="23" t="n">
        <x:f>F20+G20-H20</x:f>
        <x:v>15</x:v>
      </x:c>
      <x:c r="K20" s="20" t="n">
        <x:f>J20*D20</x:f>
        <x:v>15000</x:v>
      </x:c>
      <x:c r="L20" s="20" t="n">
        <x:f>H20*E20</x:f>
        <x:v>27000</x:v>
      </x:c>
      <x:c r="M20" s="20" t="n">
        <x:f>H20*(E20-D20)</x:f>
        <x:v>12000</x:v>
      </x:c>
      <x:c r="N20" s="16" t="str">
        <x:f>IF(J20&lt;=I20,"발주필요","정상")</x:f>
        <x:v>정상</x:v>
      </x:c>
    </x:row>
    <x:row r="21" ht="21" customHeight="1">
      <x:c r="A21" t="str">
        <x:v>P016</x:v>
      </x:c>
      <x:c r="B21" t="str">
        <x:v>과자</x:v>
      </x:c>
      <x:c r="C21" t="str">
        <x:v>허니버터칩</x:v>
      </x:c>
      <x:c r="D21" s="18" t="n">
        <x:v>1100</x:v>
      </x:c>
      <x:c r="E21" s="18" t="n">
        <x:v>1900</x:v>
      </x:c>
      <x:c r="F21" s="22" t="n">
        <x:v>25</x:v>
      </x:c>
      <x:c r="G21" s="22" t="n">
        <x:v>20</x:v>
      </x:c>
      <x:c r="H21" s="22" t="n">
        <x:v>40</x:v>
      </x:c>
      <x:c r="I21" s="22" t="n">
        <x:v>15</x:v>
      </x:c>
      <x:c r="J21" s="23" t="n">
        <x:f>F21+G21-H21</x:f>
        <x:v>5</x:v>
      </x:c>
      <x:c r="K21" s="20" t="n">
        <x:f>J21*D21</x:f>
        <x:v>5500</x:v>
      </x:c>
      <x:c r="L21" s="20" t="n">
        <x:f>H21*E21</x:f>
        <x:v>76000</x:v>
      </x:c>
      <x:c r="M21" s="20" t="n">
        <x:f>H21*(E21-D21)</x:f>
        <x:v>32000</x:v>
      </x:c>
      <x:c r="N21" s="16" t="str">
        <x:f>IF(J21&lt;=I21,"발주필요","정상")</x:f>
        <x:v>발주필요</x:v>
      </x:c>
    </x:row>
    <x:row r="22" ht="21" customHeight="1">
      <x:c r="A22" t="str">
        <x:v>P017</x:v>
      </x:c>
      <x:c r="B22" t="str">
        <x:v>라면</x:v>
      </x:c>
      <x:c r="C22" t="str">
        <x:v>신라면 컵</x:v>
      </x:c>
      <x:c r="D22" s="18" t="n">
        <x:v>900</x:v>
      </x:c>
      <x:c r="E22" s="18" t="n">
        <x:v>1500</x:v>
      </x:c>
      <x:c r="F22" s="22" t="n">
        <x:v>40</x:v>
      </x:c>
      <x:c r="G22" s="22" t="n">
        <x:v>30</x:v>
      </x:c>
      <x:c r="H22" s="22" t="n">
        <x:v>55</x:v>
      </x:c>
      <x:c r="I22" s="22" t="n">
        <x:v>20</x:v>
      </x:c>
      <x:c r="J22" s="23" t="n">
        <x:f>F22+G22-H22</x:f>
        <x:v>15</x:v>
      </x:c>
      <x:c r="K22" s="20" t="n">
        <x:f>J22*D22</x:f>
        <x:v>13500</x:v>
      </x:c>
      <x:c r="L22" s="20" t="n">
        <x:f>H22*E22</x:f>
        <x:v>82500</x:v>
      </x:c>
      <x:c r="M22" s="20" t="n">
        <x:f>H22*(E22-D22)</x:f>
        <x:v>33000</x:v>
      </x:c>
      <x:c r="N22" s="16" t="str">
        <x:f>IF(J22&lt;=I22,"발주필요","정상")</x:f>
        <x:v>발주필요</x:v>
      </x:c>
    </x:row>
    <x:row r="23" ht="21" customHeight="1">
      <x:c r="A23" t="str">
        <x:v>P018</x:v>
      </x:c>
      <x:c r="B23" t="str">
        <x:v>라면</x:v>
      </x:c>
      <x:c r="C23" t="str">
        <x:v>육개장 사발면</x:v>
      </x:c>
      <x:c r="D23" s="18" t="n">
        <x:v>700</x:v>
      </x:c>
      <x:c r="E23" s="18" t="n">
        <x:v>1200</x:v>
      </x:c>
      <x:c r="F23" s="22" t="n">
        <x:v>35</x:v>
      </x:c>
      <x:c r="G23" s="22" t="n">
        <x:v>30</x:v>
      </x:c>
      <x:c r="H23" s="22" t="n">
        <x:v>48</x:v>
      </x:c>
      <x:c r="I23" s="22" t="n">
        <x:v>20</x:v>
      </x:c>
      <x:c r="J23" s="23" t="n">
        <x:f>F23+G23-H23</x:f>
        <x:v>17</x:v>
      </x:c>
      <x:c r="K23" s="20" t="n">
        <x:f>J23*D23</x:f>
        <x:v>11900</x:v>
      </x:c>
      <x:c r="L23" s="20" t="n">
        <x:f>H23*E23</x:f>
        <x:v>57600</x:v>
      </x:c>
      <x:c r="M23" s="20" t="n">
        <x:f>H23*(E23-D23)</x:f>
        <x:v>24000</x:v>
      </x:c>
      <x:c r="N23" s="16" t="str">
        <x:f>IF(J23&lt;=I23,"발주필요","정상")</x:f>
        <x:v>발주필요</x:v>
      </x:c>
    </x:row>
    <x:row r="24" ht="21" customHeight="1">
      <x:c r="A24" t="str">
        <x:v>P019</x:v>
      </x:c>
      <x:c r="B24" t="str">
        <x:v>라면</x:v>
      </x:c>
      <x:c r="C24" t="str">
        <x:v>진라면 매운맛 컵</x:v>
      </x:c>
      <x:c r="D24" s="18" t="n">
        <x:v>800</x:v>
      </x:c>
      <x:c r="E24" s="18" t="n">
        <x:v>1400</x:v>
      </x:c>
      <x:c r="F24" s="22" t="n">
        <x:v>30</x:v>
      </x:c>
      <x:c r="G24" s="22" t="n">
        <x:v>20</x:v>
      </x:c>
      <x:c r="H24" s="22" t="n">
        <x:v>42</x:v>
      </x:c>
      <x:c r="I24" s="22" t="n">
        <x:v>15</x:v>
      </x:c>
      <x:c r="J24" s="23" t="n">
        <x:f>F24+G24-H24</x:f>
        <x:v>8</x:v>
      </x:c>
      <x:c r="K24" s="20" t="n">
        <x:f>J24*D24</x:f>
        <x:v>6400</x:v>
      </x:c>
      <x:c r="L24" s="20" t="n">
        <x:f>H24*E24</x:f>
        <x:v>58800</x:v>
      </x:c>
      <x:c r="M24" s="20" t="n">
        <x:f>H24*(E24-D24)</x:f>
        <x:v>25200</x:v>
      </x:c>
      <x:c r="N24" s="16" t="str">
        <x:f>IF(J24&lt;=I24,"발주필요","정상")</x:f>
        <x:v>발주필요</x:v>
      </x:c>
    </x:row>
    <x:row r="25" ht="21" customHeight="1">
      <x:c r="A25" t="str">
        <x:v>P020</x:v>
      </x:c>
      <x:c r="B25" t="str">
        <x:v>라면</x:v>
      </x:c>
      <x:c r="C25" t="str">
        <x:v>불닭볶음면 컵</x:v>
      </x:c>
      <x:c r="D25" s="18" t="n">
        <x:v>1100</x:v>
      </x:c>
      <x:c r="E25" s="18" t="n">
        <x:v>1800</x:v>
      </x:c>
      <x:c r="F25" s="22" t="n">
        <x:v>25</x:v>
      </x:c>
      <x:c r="G25" s="22" t="n">
        <x:v>20</x:v>
      </x:c>
      <x:c r="H25" s="22" t="n">
        <x:v>38</x:v>
      </x:c>
      <x:c r="I25" s="22" t="n">
        <x:v>15</x:v>
      </x:c>
      <x:c r="J25" s="23" t="n">
        <x:f>F25+G25-H25</x:f>
        <x:v>7</x:v>
      </x:c>
      <x:c r="K25" s="20" t="n">
        <x:f>J25*D25</x:f>
        <x:v>7700</x:v>
      </x:c>
      <x:c r="L25" s="20" t="n">
        <x:f>H25*E25</x:f>
        <x:v>68400</x:v>
      </x:c>
      <x:c r="M25" s="20" t="n">
        <x:f>H25*(E25-D25)</x:f>
        <x:v>26600</x:v>
      </x:c>
      <x:c r="N25" s="16" t="str">
        <x:f>IF(J25&lt;=I25,"발주필요","정상")</x:f>
        <x:v>발주필요</x:v>
      </x:c>
    </x:row>
    <x:row r="26" ht="21" customHeight="1">
      <x:c r="A26" t="str">
        <x:v>P021</x:v>
      </x:c>
      <x:c r="B26" t="str">
        <x:v>라면</x:v>
      </x:c>
      <x:c r="C26" t="str">
        <x:v>짜파게티 범벅</x:v>
      </x:c>
      <x:c r="D26" s="18" t="n">
        <x:v>900</x:v>
      </x:c>
      <x:c r="E26" s="18" t="n">
        <x:v>1500</x:v>
      </x:c>
      <x:c r="F26" s="22" t="n">
        <x:v>25</x:v>
      </x:c>
      <x:c r="G26" s="22" t="n">
        <x:v>15</x:v>
      </x:c>
      <x:c r="H26" s="22" t="n">
        <x:v>20</x:v>
      </x:c>
      <x:c r="I26" s="22" t="n">
        <x:v>10</x:v>
      </x:c>
      <x:c r="J26" s="23" t="n">
        <x:f>F26+G26-H26</x:f>
        <x:v>20</x:v>
      </x:c>
      <x:c r="K26" s="20" t="n">
        <x:f>J26*D26</x:f>
        <x:v>18000</x:v>
      </x:c>
      <x:c r="L26" s="20" t="n">
        <x:f>H26*E26</x:f>
        <x:v>30000</x:v>
      </x:c>
      <x:c r="M26" s="20" t="n">
        <x:f>H26*(E26-D26)</x:f>
        <x:v>12000</x:v>
      </x:c>
      <x:c r="N26" s="16" t="str">
        <x:f>IF(J26&lt;=I26,"발주필요","정상")</x:f>
        <x:v>정상</x:v>
      </x:c>
    </x:row>
    <x:row r="27" ht="21" customHeight="1">
      <x:c r="A27" t="str">
        <x:v>P022</x:v>
      </x:c>
      <x:c r="B27" t="str">
        <x:v>라면</x:v>
      </x:c>
      <x:c r="C27" t="str">
        <x:v>왕뚜껑</x:v>
      </x:c>
      <x:c r="D27" s="18" t="n">
        <x:v>1100</x:v>
      </x:c>
      <x:c r="E27" s="18" t="n">
        <x:v>1800</x:v>
      </x:c>
      <x:c r="F27" s="22" t="n">
        <x:v>30</x:v>
      </x:c>
      <x:c r="G27" s="22" t="n">
        <x:v>20</x:v>
      </x:c>
      <x:c r="H27" s="22" t="n">
        <x:v>35</x:v>
      </x:c>
      <x:c r="I27" s="22" t="n">
        <x:v>15</x:v>
      </x:c>
      <x:c r="J27" s="23" t="n">
        <x:f>F27+G27-H27</x:f>
        <x:v>15</x:v>
      </x:c>
      <x:c r="K27" s="20" t="n">
        <x:f>J27*D27</x:f>
        <x:v>16500</x:v>
      </x:c>
      <x:c r="L27" s="20" t="n">
        <x:f>H27*E27</x:f>
        <x:v>63000</x:v>
      </x:c>
      <x:c r="M27" s="20" t="n">
        <x:f>H27*(E27-D27)</x:f>
        <x:v>24500</x:v>
      </x:c>
      <x:c r="N27" s="16" t="str">
        <x:f>IF(J27&lt;=I27,"발주필요","정상")</x:f>
        <x:v>발주필요</x:v>
      </x:c>
    </x:row>
    <x:row r="28" ht="21" customHeight="1">
      <x:c r="A28" t="str">
        <x:v>P023</x:v>
      </x:c>
      <x:c r="B28" t="str">
        <x:v>즉석식품</x:v>
      </x:c>
      <x:c r="C28" t="str">
        <x:v>참치마요 삼각김밥</x:v>
      </x:c>
      <x:c r="D28" s="18" t="n">
        <x:v>800</x:v>
      </x:c>
      <x:c r="E28" s="18" t="n">
        <x:v>1300</x:v>
      </x:c>
      <x:c r="F28" s="22" t="n">
        <x:v>20</x:v>
      </x:c>
      <x:c r="G28" s="22" t="n">
        <x:v>20</x:v>
      </x:c>
      <x:c r="H28" s="22" t="n">
        <x:v>32</x:v>
      </x:c>
      <x:c r="I28" s="22" t="n">
        <x:v>10</x:v>
      </x:c>
      <x:c r="J28" s="23" t="n">
        <x:f>F28+G28-H28</x:f>
        <x:v>8</x:v>
      </x:c>
      <x:c r="K28" s="20" t="n">
        <x:f>J28*D28</x:f>
        <x:v>6400</x:v>
      </x:c>
      <x:c r="L28" s="20" t="n">
        <x:f>H28*E28</x:f>
        <x:v>41600</x:v>
      </x:c>
      <x:c r="M28" s="20" t="n">
        <x:f>H28*(E28-D28)</x:f>
        <x:v>16000</x:v>
      </x:c>
      <x:c r="N28" s="16" t="str">
        <x:f>IF(J28&lt;=I28,"발주필요","정상")</x:f>
        <x:v>발주필요</x:v>
      </x:c>
    </x:row>
    <x:row r="29" ht="21" customHeight="1">
      <x:c r="A29" t="str">
        <x:v>P024</x:v>
      </x:c>
      <x:c r="B29" t="str">
        <x:v>즉석식품</x:v>
      </x:c>
      <x:c r="C29" t="str">
        <x:v>전주비빔 삼각김밥</x:v>
      </x:c>
      <x:c r="D29" s="18" t="n">
        <x:v>800</x:v>
      </x:c>
      <x:c r="E29" s="18" t="n">
        <x:v>1300</x:v>
      </x:c>
      <x:c r="F29" s="22" t="n">
        <x:v>20</x:v>
      </x:c>
      <x:c r="G29" s="22" t="n">
        <x:v>15</x:v>
      </x:c>
      <x:c r="H29" s="22" t="n">
        <x:v>28</x:v>
      </x:c>
      <x:c r="I29" s="22" t="n">
        <x:v>10</x:v>
      </x:c>
      <x:c r="J29" s="23" t="n">
        <x:f>F29+G29-H29</x:f>
        <x:v>7</x:v>
      </x:c>
      <x:c r="K29" s="20" t="n">
        <x:f>J29*D29</x:f>
        <x:v>5600</x:v>
      </x:c>
      <x:c r="L29" s="20" t="n">
        <x:f>H29*E29</x:f>
        <x:v>36400</x:v>
      </x:c>
      <x:c r="M29" s="20" t="n">
        <x:f>H29*(E29-D29)</x:f>
        <x:v>14000</x:v>
      </x:c>
      <x:c r="N29" s="16" t="str">
        <x:f>IF(J29&lt;=I29,"발주필요","정상")</x:f>
        <x:v>발주필요</x:v>
      </x:c>
    </x:row>
    <x:row r="30" ht="21" customHeight="1">
      <x:c r="A30" t="str">
        <x:v>P025</x:v>
      </x:c>
      <x:c r="B30" t="str">
        <x:v>즉석식품</x:v>
      </x:c>
      <x:c r="C30" t="str">
        <x:v>햄치즈 샌드위치</x:v>
      </x:c>
      <x:c r="D30" s="18" t="n">
        <x:v>1700</x:v>
      </x:c>
      <x:c r="E30" s="18" t="n">
        <x:v>2900</x:v>
      </x:c>
      <x:c r="F30" s="22" t="n">
        <x:v>15</x:v>
      </x:c>
      <x:c r="G30" s="22" t="n">
        <x:v>10</x:v>
      </x:c>
      <x:c r="H30" s="22" t="n">
        <x:v>19</x:v>
      </x:c>
      <x:c r="I30" s="22" t="n">
        <x:v>8</x:v>
      </x:c>
      <x:c r="J30" s="23" t="n">
        <x:f>F30+G30-H30</x:f>
        <x:v>6</x:v>
      </x:c>
      <x:c r="K30" s="20" t="n">
        <x:f>J30*D30</x:f>
        <x:v>10200</x:v>
      </x:c>
      <x:c r="L30" s="20" t="n">
        <x:f>H30*E30</x:f>
        <x:v>55100</x:v>
      </x:c>
      <x:c r="M30" s="20" t="n">
        <x:f>H30*(E30-D30)</x:f>
        <x:v>22800</x:v>
      </x:c>
      <x:c r="N30" s="16" t="str">
        <x:f>IF(J30&lt;=I30,"발주필요","정상")</x:f>
        <x:v>발주필요</x:v>
      </x:c>
    </x:row>
    <x:row r="31" ht="21" customHeight="1">
      <x:c r="A31" t="str">
        <x:v>P026</x:v>
      </x:c>
      <x:c r="B31" t="str">
        <x:v>즉석식품</x:v>
      </x:c>
      <x:c r="C31" t="str">
        <x:v>치킨마요 도시락</x:v>
      </x:c>
      <x:c r="D31" s="18" t="n">
        <x:v>2800</x:v>
      </x:c>
      <x:c r="E31" s="18" t="n">
        <x:v>4900</x:v>
      </x:c>
      <x:c r="F31" s="22" t="n">
        <x:v>12</x:v>
      </x:c>
      <x:c r="G31" s="22" t="n">
        <x:v>10</x:v>
      </x:c>
      <x:c r="H31" s="22" t="n">
        <x:v>17</x:v>
      </x:c>
      <x:c r="I31" s="22" t="n">
        <x:v>5</x:v>
      </x:c>
      <x:c r="J31" s="23" t="n">
        <x:f>F31+G31-H31</x:f>
        <x:v>5</x:v>
      </x:c>
      <x:c r="K31" s="20" t="n">
        <x:f>J31*D31</x:f>
        <x:v>14000</x:v>
      </x:c>
      <x:c r="L31" s="20" t="n">
        <x:f>H31*E31</x:f>
        <x:v>83300</x:v>
      </x:c>
      <x:c r="M31" s="20" t="n">
        <x:f>H31*(E31-D31)</x:f>
        <x:v>35700</x:v>
      </x:c>
      <x:c r="N31" s="16" t="str">
        <x:f>IF(J31&lt;=I31,"발주필요","정상")</x:f>
        <x:v>발주필요</x:v>
      </x:c>
    </x:row>
    <x:row r="32" ht="21" customHeight="1">
      <x:c r="A32" t="str">
        <x:v>P027</x:v>
      </x:c>
      <x:c r="B32" t="str">
        <x:v>즉석식품</x:v>
      </x:c>
      <x:c r="C32" t="str">
        <x:v>제육볶음 도시락</x:v>
      </x:c>
      <x:c r="D32" s="18" t="n">
        <x:v>3000</x:v>
      </x:c>
      <x:c r="E32" s="18" t="n">
        <x:v>5200</x:v>
      </x:c>
      <x:c r="F32" s="22" t="n">
        <x:v>12</x:v>
      </x:c>
      <x:c r="G32" s="22" t="n">
        <x:v>10</x:v>
      </x:c>
      <x:c r="H32" s="22" t="n">
        <x:v>20</x:v>
      </x:c>
      <x:c r="I32" s="22" t="n">
        <x:v>5</x:v>
      </x:c>
      <x:c r="J32" s="23" t="n">
        <x:f>F32+G32-H32</x:f>
        <x:v>2</x:v>
      </x:c>
      <x:c r="K32" s="20" t="n">
        <x:f>J32*D32</x:f>
        <x:v>6000</x:v>
      </x:c>
      <x:c r="L32" s="20" t="n">
        <x:f>H32*E32</x:f>
        <x:v>104000</x:v>
      </x:c>
      <x:c r="M32" s="20" t="n">
        <x:f>H32*(E32-D32)</x:f>
        <x:v>44000</x:v>
      </x:c>
      <x:c r="N32" s="16" t="str">
        <x:f>IF(J32&lt;=I32,"발주필요","정상")</x:f>
        <x:v>발주필요</x:v>
      </x:c>
    </x:row>
    <x:row r="33" ht="21" customHeight="1">
      <x:c r="A33" t="str">
        <x:v>P028</x:v>
      </x:c>
      <x:c r="B33" t="str">
        <x:v>즉석식품</x:v>
      </x:c>
      <x:c r="C33" t="str">
        <x:v>핫바 오리지널</x:v>
      </x:c>
      <x:c r="D33" s="18" t="n">
        <x:v>1000</x:v>
      </x:c>
      <x:c r="E33" s="18" t="n">
        <x:v>2000</x:v>
      </x:c>
      <x:c r="F33" s="22" t="n">
        <x:v>25</x:v>
      </x:c>
      <x:c r="G33" s="22" t="n">
        <x:v>15</x:v>
      </x:c>
      <x:c r="H33" s="22" t="n">
        <x:v>30</x:v>
      </x:c>
      <x:c r="I33" s="22" t="n">
        <x:v>10</x:v>
      </x:c>
      <x:c r="J33" s="23" t="n">
        <x:f>F33+G33-H33</x:f>
        <x:v>10</x:v>
      </x:c>
      <x:c r="K33" s="20" t="n">
        <x:f>J33*D33</x:f>
        <x:v>10000</x:v>
      </x:c>
      <x:c r="L33" s="20" t="n">
        <x:f>H33*E33</x:f>
        <x:v>60000</x:v>
      </x:c>
      <x:c r="M33" s="20" t="n">
        <x:f>H33*(E33-D33)</x:f>
        <x:v>30000</x:v>
      </x:c>
      <x:c r="N33" s="16" t="str">
        <x:f>IF(J33&lt;=I33,"발주필요","정상")</x:f>
        <x:v>발주필요</x:v>
      </x:c>
    </x:row>
    <x:row r="34" ht="21" customHeight="1">
      <x:c r="A34" t="str">
        <x:v>P029</x:v>
      </x:c>
      <x:c r="B34" t="str">
        <x:v>즉석식품</x:v>
      </x:c>
      <x:c r="C34" t="str">
        <x:v>소시지 2개입</x:v>
      </x:c>
      <x:c r="D34" s="18" t="n">
        <x:v>1300</x:v>
      </x:c>
      <x:c r="E34" s="18" t="n">
        <x:v>2500</x:v>
      </x:c>
      <x:c r="F34" s="22" t="n">
        <x:v>20</x:v>
      </x:c>
      <x:c r="G34" s="22" t="n">
        <x:v>10</x:v>
      </x:c>
      <x:c r="H34" s="22" t="n">
        <x:v>24</x:v>
      </x:c>
      <x:c r="I34" s="22" t="n">
        <x:v>10</x:v>
      </x:c>
      <x:c r="J34" s="23" t="n">
        <x:f>F34+G34-H34</x:f>
        <x:v>6</x:v>
      </x:c>
      <x:c r="K34" s="20" t="n">
        <x:f>J34*D34</x:f>
        <x:v>7800</x:v>
      </x:c>
      <x:c r="L34" s="20" t="n">
        <x:f>H34*E34</x:f>
        <x:v>60000</x:v>
      </x:c>
      <x:c r="M34" s="20" t="n">
        <x:f>H34*(E34-D34)</x:f>
        <x:v>28800</x:v>
      </x:c>
      <x:c r="N34" s="16" t="str">
        <x:f>IF(J34&lt;=I34,"발주필요","정상")</x:f>
        <x:v>발주필요</x:v>
      </x:c>
    </x:row>
    <x:row r="35" ht="21" customHeight="1">
      <x:c r="A35" t="str">
        <x:v>P030</x:v>
      </x:c>
      <x:c r="B35" t="str">
        <x:v>즉석식품</x:v>
      </x:c>
      <x:c r="C35" t="str">
        <x:v>컵떡볶이</x:v>
      </x:c>
      <x:c r="D35" s="18" t="n">
        <x:v>1800</x:v>
      </x:c>
      <x:c r="E35" s="18" t="n">
        <x:v>3200</x:v>
      </x:c>
      <x:c r="F35" s="22" t="n">
        <x:v>15</x:v>
      </x:c>
      <x:c r="G35" s="22" t="n">
        <x:v>10</x:v>
      </x:c>
      <x:c r="H35" s="22" t="n">
        <x:v>18</x:v>
      </x:c>
      <x:c r="I35" s="22" t="n">
        <x:v>8</x:v>
      </x:c>
      <x:c r="J35" s="23" t="n">
        <x:f>F35+G35-H35</x:f>
        <x:v>7</x:v>
      </x:c>
      <x:c r="K35" s="20" t="n">
        <x:f>J35*D35</x:f>
        <x:v>12600</x:v>
      </x:c>
      <x:c r="L35" s="20" t="n">
        <x:f>H35*E35</x:f>
        <x:v>57600</x:v>
      </x:c>
      <x:c r="M35" s="20" t="n">
        <x:f>H35*(E35-D35)</x:f>
        <x:v>25200</x:v>
      </x:c>
      <x:c r="N35" s="16" t="str">
        <x:f>IF(J35&lt;=I35,"발주필요","정상")</x:f>
        <x:v>발주필요</x:v>
      </x:c>
    </x:row>
    <x:row r="36" ht="21" customHeight="1">
      <x:c r="A36" t="str">
        <x:v>P031</x:v>
      </x:c>
      <x:c r="B36" t="str">
        <x:v>아이스크림</x:v>
      </x:c>
      <x:c r="C36" t="str">
        <x:v>메로나</x:v>
      </x:c>
      <x:c r="D36" s="18" t="n">
        <x:v>600</x:v>
      </x:c>
      <x:c r="E36" s="18" t="n">
        <x:v>1200</x:v>
      </x:c>
      <x:c r="F36" s="22" t="n">
        <x:v>30</x:v>
      </x:c>
      <x:c r="G36" s="22" t="n">
        <x:v>20</x:v>
      </x:c>
      <x:c r="H36" s="22" t="n">
        <x:v>40</x:v>
      </x:c>
      <x:c r="I36" s="22" t="n">
        <x:v>15</x:v>
      </x:c>
      <x:c r="J36" s="23" t="n">
        <x:f>F36+G36-H36</x:f>
        <x:v>10</x:v>
      </x:c>
      <x:c r="K36" s="20" t="n">
        <x:f>J36*D36</x:f>
        <x:v>6000</x:v>
      </x:c>
      <x:c r="L36" s="20" t="n">
        <x:f>H36*E36</x:f>
        <x:v>48000</x:v>
      </x:c>
      <x:c r="M36" s="20" t="n">
        <x:f>H36*(E36-D36)</x:f>
        <x:v>24000</x:v>
      </x:c>
      <x:c r="N36" s="16" t="str">
        <x:f>IF(J36&lt;=I36,"발주필요","정상")</x:f>
        <x:v>발주필요</x:v>
      </x:c>
    </x:row>
    <x:row r="37" ht="21" customHeight="1">
      <x:c r="A37" t="str">
        <x:v>P032</x:v>
      </x:c>
      <x:c r="B37" t="str">
        <x:v>아이스크림</x:v>
      </x:c>
      <x:c r="C37" t="str">
        <x:v>월드콘</x:v>
      </x:c>
      <x:c r="D37" s="18" t="n">
        <x:v>1000</x:v>
      </x:c>
      <x:c r="E37" s="18" t="n">
        <x:v>2200</x:v>
      </x:c>
      <x:c r="F37" s="22" t="n">
        <x:v>25</x:v>
      </x:c>
      <x:c r="G37" s="22" t="n">
        <x:v>15</x:v>
      </x:c>
      <x:c r="H37" s="22" t="n">
        <x:v>28</x:v>
      </x:c>
      <x:c r="I37" s="22" t="n">
        <x:v>10</x:v>
      </x:c>
      <x:c r="J37" s="23" t="n">
        <x:f>F37+G37-H37</x:f>
        <x:v>12</x:v>
      </x:c>
      <x:c r="K37" s="20" t="n">
        <x:f>J37*D37</x:f>
        <x:v>12000</x:v>
      </x:c>
      <x:c r="L37" s="20" t="n">
        <x:f>H37*E37</x:f>
        <x:v>61600</x:v>
      </x:c>
      <x:c r="M37" s="20" t="n">
        <x:f>H37*(E37-D37)</x:f>
        <x:v>33600</x:v>
      </x:c>
      <x:c r="N37" s="16" t="str">
        <x:f>IF(J37&lt;=I37,"발주필요","정상")</x:f>
        <x:v>정상</x:v>
      </x:c>
    </x:row>
    <x:row r="38" ht="21" customHeight="1">
      <x:c r="A38" t="str">
        <x:v>P033</x:v>
      </x:c>
      <x:c r="B38" t="str">
        <x:v>아이스크림</x:v>
      </x:c>
      <x:c r="C38" t="str">
        <x:v>비비빅</x:v>
      </x:c>
      <x:c r="D38" s="18" t="n">
        <x:v>600</x:v>
      </x:c>
      <x:c r="E38" s="18" t="n">
        <x:v>1200</x:v>
      </x:c>
      <x:c r="F38" s="22" t="n">
        <x:v>20</x:v>
      </x:c>
      <x:c r="G38" s="22" t="n">
        <x:v>15</x:v>
      </x:c>
      <x:c r="H38" s="22" t="n">
        <x:v>25</x:v>
      </x:c>
      <x:c r="I38" s="22" t="n">
        <x:v>10</x:v>
      </x:c>
      <x:c r="J38" s="23" t="n">
        <x:f>F38+G38-H38</x:f>
        <x:v>10</x:v>
      </x:c>
      <x:c r="K38" s="20" t="n">
        <x:f>J38*D38</x:f>
        <x:v>6000</x:v>
      </x:c>
      <x:c r="L38" s="20" t="n">
        <x:f>H38*E38</x:f>
        <x:v>30000</x:v>
      </x:c>
      <x:c r="M38" s="20" t="n">
        <x:f>H38*(E38-D38)</x:f>
        <x:v>15000</x:v>
      </x:c>
      <x:c r="N38" s="16" t="str">
        <x:f>IF(J38&lt;=I38,"발주필요","정상")</x:f>
        <x:v>발주필요</x:v>
      </x:c>
    </x:row>
    <x:row r="39" ht="21" customHeight="1">
      <x:c r="A39" t="str">
        <x:v>P034</x:v>
      </x:c>
      <x:c r="B39" t="str">
        <x:v>아이스크림</x:v>
      </x:c>
      <x:c r="C39" t="str">
        <x:v>돼지바</x:v>
      </x:c>
      <x:c r="D39" s="18" t="n">
        <x:v>700</x:v>
      </x:c>
      <x:c r="E39" s="18" t="n">
        <x:v>1500</x:v>
      </x:c>
      <x:c r="F39" s="22" t="n">
        <x:v>30</x:v>
      </x:c>
      <x:c r="G39" s="22" t="n">
        <x:v>20</x:v>
      </x:c>
      <x:c r="H39" s="22" t="n">
        <x:v>42</x:v>
      </x:c>
      <x:c r="I39" s="22" t="n">
        <x:v>15</x:v>
      </x:c>
      <x:c r="J39" s="23" t="n">
        <x:f>F39+G39-H39</x:f>
        <x:v>8</x:v>
      </x:c>
      <x:c r="K39" s="20" t="n">
        <x:f>J39*D39</x:f>
        <x:v>5600</x:v>
      </x:c>
      <x:c r="L39" s="20" t="n">
        <x:f>H39*E39</x:f>
        <x:v>63000</x:v>
      </x:c>
      <x:c r="M39" s="20" t="n">
        <x:f>H39*(E39-D39)</x:f>
        <x:v>33600</x:v>
      </x:c>
      <x:c r="N39" s="16" t="str">
        <x:f>IF(J39&lt;=I39,"발주필요","정상")</x:f>
        <x:v>발주필요</x:v>
      </x:c>
    </x:row>
    <x:row r="40" ht="21" customHeight="1">
      <x:c r="A40" t="str">
        <x:v>P035</x:v>
      </x:c>
      <x:c r="B40" t="str">
        <x:v>생활용품</x:v>
      </x:c>
      <x:c r="C40" t="str">
        <x:v>휴대용 티슈</x:v>
      </x:c>
      <x:c r="D40" s="18" t="n">
        <x:v>500</x:v>
      </x:c>
      <x:c r="E40" s="18" t="n">
        <x:v>1000</x:v>
      </x:c>
      <x:c r="F40" s="22" t="n">
        <x:v>20</x:v>
      </x:c>
      <x:c r="G40" s="22" t="n">
        <x:v>10</x:v>
      </x:c>
      <x:c r="H40" s="22" t="n">
        <x:v>15</x:v>
      </x:c>
      <x:c r="I40" s="22" t="n">
        <x:v>10</x:v>
      </x:c>
      <x:c r="J40" s="23" t="n">
        <x:f>F40+G40-H40</x:f>
        <x:v>15</x:v>
      </x:c>
      <x:c r="K40" s="20" t="n">
        <x:f>J40*D40</x:f>
        <x:v>7500</x:v>
      </x:c>
      <x:c r="L40" s="20" t="n">
        <x:f>H40*E40</x:f>
        <x:v>15000</x:v>
      </x:c>
      <x:c r="M40" s="20" t="n">
        <x:f>H40*(E40-D40)</x:f>
        <x:v>7500</x:v>
      </x:c>
      <x:c r="N40" s="16" t="str">
        <x:f>IF(J40&lt;=I40,"발주필요","정상")</x:f>
        <x:v>정상</x:v>
      </x:c>
    </x:row>
    <x:row r="41" ht="21" customHeight="1">
      <x:c r="A41" t="str">
        <x:v>P036</x:v>
      </x:c>
      <x:c r="B41" t="str">
        <x:v>생활용품</x:v>
      </x:c>
      <x:c r="C41" t="str">
        <x:v>물티슈 20매</x:v>
      </x:c>
      <x:c r="D41" s="18" t="n">
        <x:v>900</x:v>
      </x:c>
      <x:c r="E41" s="18" t="n">
        <x:v>1800</x:v>
      </x:c>
      <x:c r="F41" s="22" t="n">
        <x:v>20</x:v>
      </x:c>
      <x:c r="G41" s="22" t="n">
        <x:v>10</x:v>
      </x:c>
      <x:c r="H41" s="22" t="n">
        <x:v>22</x:v>
      </x:c>
      <x:c r="I41" s="22" t="n">
        <x:v>10</x:v>
      </x:c>
      <x:c r="J41" s="23" t="n">
        <x:f>F41+G41-H41</x:f>
        <x:v>8</x:v>
      </x:c>
      <x:c r="K41" s="20" t="n">
        <x:f>J41*D41</x:f>
        <x:v>7200</x:v>
      </x:c>
      <x:c r="L41" s="20" t="n">
        <x:f>H41*E41</x:f>
        <x:v>39600</x:v>
      </x:c>
      <x:c r="M41" s="20" t="n">
        <x:f>H41*(E41-D41)</x:f>
        <x:v>19800</x:v>
      </x:c>
      <x:c r="N41" s="16" t="str">
        <x:f>IF(J41&lt;=I41,"발주필요","정상")</x:f>
        <x:v>발주필요</x:v>
      </x:c>
    </x:row>
    <x:row r="42" ht="21" customHeight="1">
      <x:c r="A42" t="str">
        <x:v>P037</x:v>
      </x:c>
      <x:c r="B42" t="str">
        <x:v>생활용품</x:v>
      </x:c>
      <x:c r="C42" t="str">
        <x:v>일회용 칫솔</x:v>
      </x:c>
      <x:c r="D42" s="18" t="n">
        <x:v>700</x:v>
      </x:c>
      <x:c r="E42" s="18" t="n">
        <x:v>1500</x:v>
      </x:c>
      <x:c r="F42" s="22" t="n">
        <x:v>15</x:v>
      </x:c>
      <x:c r="G42" s="22" t="n">
        <x:v>10</x:v>
      </x:c>
      <x:c r="H42" s="22" t="n">
        <x:v>12</x:v>
      </x:c>
      <x:c r="I42" s="22" t="n">
        <x:v>5</x:v>
      </x:c>
      <x:c r="J42" s="23" t="n">
        <x:f>F42+G42-H42</x:f>
        <x:v>13</x:v>
      </x:c>
      <x:c r="K42" s="20" t="n">
        <x:f>J42*D42</x:f>
        <x:v>9100</x:v>
      </x:c>
      <x:c r="L42" s="20" t="n">
        <x:f>H42*E42</x:f>
        <x:v>18000</x:v>
      </x:c>
      <x:c r="M42" s="20" t="n">
        <x:f>H42*(E42-D42)</x:f>
        <x:v>9600</x:v>
      </x:c>
      <x:c r="N42" s="16" t="str">
        <x:f>IF(J42&lt;=I42,"발주필요","정상")</x:f>
        <x:v>정상</x:v>
      </x:c>
    </x:row>
    <x:row r="43" ht="21" customHeight="1">
      <x:c r="A43" t="str">
        <x:v>P038</x:v>
      </x:c>
      <x:c r="B43" t="str">
        <x:v>생활용품</x:v>
      </x:c>
      <x:c r="C43" t="str">
        <x:v>AA 건전지 2개입</x:v>
      </x:c>
      <x:c r="D43" s="18" t="n">
        <x:v>1500</x:v>
      </x:c>
      <x:c r="E43" s="18" t="n">
        <x:v>3000</x:v>
      </x:c>
      <x:c r="F43" s="22" t="n">
        <x:v>15</x:v>
      </x:c>
      <x:c r="G43" s="22" t="n">
        <x:v>5</x:v>
      </x:c>
      <x:c r="H43" s="22" t="n">
        <x:v>8</x:v>
      </x:c>
      <x:c r="I43" s="22" t="n">
        <x:v>5</x:v>
      </x:c>
      <x:c r="J43" s="23" t="n">
        <x:f>F43+G43-H43</x:f>
        <x:v>12</x:v>
      </x:c>
      <x:c r="K43" s="20" t="n">
        <x:f>J43*D43</x:f>
        <x:v>18000</x:v>
      </x:c>
      <x:c r="L43" s="20" t="n">
        <x:f>H43*E43</x:f>
        <x:v>24000</x:v>
      </x:c>
      <x:c r="M43" s="20" t="n">
        <x:f>H43*(E43-D43)</x:f>
        <x:v>12000</x:v>
      </x:c>
      <x:c r="N43" s="16" t="str">
        <x:f>IF(J43&lt;=I43,"발주필요","정상")</x:f>
        <x:v>정상</x:v>
      </x:c>
    </x:row>
    <x:row r="44" ht="21" customHeight="1">
      <x:c r="A44" t="str">
        <x:v>P039</x:v>
      </x:c>
      <x:c r="B44" t="str">
        <x:v>생활용품</x:v>
      </x:c>
      <x:c r="C44" t="str">
        <x:v>일회용 우산</x:v>
      </x:c>
      <x:c r="D44" s="18" t="n">
        <x:v>3000</x:v>
      </x:c>
      <x:c r="E44" s="18" t="n">
        <x:v>6000</x:v>
      </x:c>
      <x:c r="F44" s="22" t="n">
        <x:v>15</x:v>
      </x:c>
      <x:c r="G44" s="22" t="n">
        <x:v>10</x:v>
      </x:c>
      <x:c r="H44" s="22" t="n">
        <x:v>18</x:v>
      </x:c>
      <x:c r="I44" s="22" t="n">
        <x:v>5</x:v>
      </x:c>
      <x:c r="J44" s="23" t="n">
        <x:f>F44+G44-H44</x:f>
        <x:v>7</x:v>
      </x:c>
      <x:c r="K44" s="20" t="n">
        <x:f>J44*D44</x:f>
        <x:v>21000</x:v>
      </x:c>
      <x:c r="L44" s="20" t="n">
        <x:f>H44*E44</x:f>
        <x:v>108000</x:v>
      </x:c>
      <x:c r="M44" s="20" t="n">
        <x:f>H44*(E44-D44)</x:f>
        <x:v>54000</x:v>
      </x:c>
      <x:c r="N44" s="16" t="str">
        <x:f>IF(J44&lt;=I44,"발주필요","정상")</x:f>
        <x:v>정상</x:v>
      </x:c>
    </x:row>
    <x:row r="45" ht="21" customHeight="1">
      <x:c r="A45" t="str">
        <x:v>P040</x:v>
      </x:c>
      <x:c r="B45" t="str">
        <x:v>생활용품</x:v>
      </x:c>
      <x:c r="C45" t="str">
        <x:v>종이컵 10개입</x:v>
      </x:c>
      <x:c r="D45" s="18" t="n">
        <x:v>700</x:v>
      </x:c>
      <x:c r="E45" s="18" t="n">
        <x:v>1500</x:v>
      </x:c>
      <x:c r="F45" s="22" t="n">
        <x:v>20</x:v>
      </x:c>
      <x:c r="G45" s="22" t="n">
        <x:v>10</x:v>
      </x:c>
      <x:c r="H45" s="22" t="n">
        <x:v>12</x:v>
      </x:c>
      <x:c r="I45" s="22" t="n">
        <x:v>5</x:v>
      </x:c>
      <x:c r="J45" s="23" t="n">
        <x:f>F45+G45-H45</x:f>
        <x:v>18</x:v>
      </x:c>
      <x:c r="K45" s="20" t="n">
        <x:f>J45*D45</x:f>
        <x:v>12600</x:v>
      </x:c>
      <x:c r="L45" s="20" t="n">
        <x:f>H45*E45</x:f>
        <x:v>18000</x:v>
      </x:c>
      <x:c r="M45" s="20" t="n">
        <x:f>H45*(E45-D45)</x:f>
        <x:v>9600</x:v>
      </x:c>
      <x:c r="N45" s="16" t="str">
        <x:f>IF(J45&lt;=I45,"발주필요","정상")</x:f>
        <x:v>정상</x:v>
      </x:c>
    </x:row>
    <x:row r="47">
      <x:c r="A47" s="27" t="str">
        <x:v>합계</x:v>
      </x:c>
      <x:c r="B47" s="27"/>
      <x:c r="C47" s="27"/>
      <x:c r="D47" s="27"/>
      <x:c r="E47" s="27"/>
      <x:c r="F47" s="27"/>
      <x:c r="G47" s="27"/>
      <x:c r="H47" s="27"/>
      <x:c r="I47" s="27"/>
      <x:c r="J47" s="30" t="n">
        <x:f>SUM(J6:J45)</x:f>
        <x:v>443</x:v>
      </x:c>
      <x:c r="K47" s="30" t="n">
        <x:f>SUM(K6:K45)</x:f>
        <x:v>464400</x:v>
      </x:c>
      <x:c r="L47" s="30" t="n">
        <x:f>SUM(L6:L45)</x:f>
        <x:v>2195100</x:v>
      </x:c>
      <x:c r="M47" s="30" t="n">
        <x:f>SUM(M6:M45)</x:f>
        <x:v>981400</x:v>
      </x:c>
      <x:c r="N47" s="27" t="n">
        <x:f>COUNTIF(N6:N45,"발주필요")</x:f>
        <x:v>29</x:v>
      </x:c>
    </x:row>
  </x:sheetData>
  <x:mergeCells>
    <x:mergeCell ref="A1:N2"/>
    <x:mergeCell ref="A3:N3"/>
  </x:mergeCells>
  <x:conditionalFormatting sqref="N6:N45">
    <x:cfRule type="expression" dxfId="0" priority="1">
      <x:formula>N6="발주필요"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5a384f2f2d48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7" hidden="0" customWidth="1"/>
  </x:cols>
  <x:sheetData>
    <x:row r="1" ht="24" customHeight="1">
      <x:c r="A1" s="3" t="str">
        <x:v>편의점 재고관리 실습 안내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4" ht="36" customHeight="1">
      <x:c r="A4" s="32" t="str">
        <x:v>실습 목표</x:v>
      </x:c>
      <x:c r="B4" s="34" t="str">
        <x:v>가상 편의점 상품 40개의 재고와 매출을 계산하고 발주가 필요한 품목을 선별합니다.</x:v>
      </x:c>
    </x:row>
    <x:row r="5" ht="36" customHeight="1">
      <x:c r="A5" s="32" t="str">
        <x:v>1. 현재고(J열)</x:v>
      </x:c>
      <x:c r="B5" s="34" t="n">
        <x:f>F6+G6-H6</x:f>
        <x:v>0</x:v>
      </x:c>
    </x:row>
    <x:row r="6" ht="36" customHeight="1">
      <x:c r="A6" s="32" t="str">
        <x:v>2. 재고금액(K열)</x:v>
      </x:c>
      <x:c r="B6" s="34" t="n">
        <x:f>J6*D6</x:f>
        <x:v>0</x:v>
      </x:c>
    </x:row>
    <x:row r="7" ht="36" customHeight="1">
      <x:c r="A7" s="32" t="str">
        <x:v>3. 판매금액(L열)</x:v>
      </x:c>
      <x:c r="B7" s="34" t="n">
        <x:f>H6*E6</x:f>
        <x:v>0</x:v>
      </x:c>
    </x:row>
    <x:row r="8" ht="36" customHeight="1">
      <x:c r="A8" s="32" t="str">
        <x:v>4. 판매이익(M열)</x:v>
      </x:c>
      <x:c r="B8" s="34" t="n">
        <x:f>H6*(E6-D6)</x:f>
        <x:v>0</x:v>
      </x:c>
    </x:row>
    <x:row r="9" ht="36" customHeight="1">
      <x:c r="A9" s="32" t="str">
        <x:v>5. 재고상태(N열)</x:v>
      </x:c>
      <x:c r="B9" s="34" t="str">
        <x:f>IF(J6&lt;=I6,"발주필요","정상")</x:f>
        <x:v>발주필요</x:v>
      </x:c>
    </x:row>
    <x:row r="10" ht="36" customHeight="1">
      <x:c r="A10" s="32" t="str">
        <x:v>6. 자동 채우기</x:v>
      </x:c>
      <x:c r="B10" s="34" t="str">
        <x:v>J6:N6에 수식 입력 후 각 열의 45행까지 채우기</x:v>
      </x:c>
    </x:row>
    <x:row r="11" ht="36" customHeight="1">
      <x:c r="A11" s="32" t="str">
        <x:v>7. 필터</x:v>
      </x:c>
      <x:c r="B11" s="34" t="str">
        <x:v>재고상태가 '발주필요'인 제품만 보기</x:v>
      </x:c>
    </x:row>
    <x:row r="12" ht="36" customHeight="1">
      <x:c r="A12" s="32" t="str">
        <x:v>8. 조건부서식</x:v>
      </x:c>
      <x:c r="B12" s="34" t="str">
        <x:v>N열에서 '발주필요'를 붉은색으로 표시</x:v>
      </x:c>
    </x:row>
    <x:row r="13" ht="36" customHeight="1">
      <x:c r="A13" s="32" t="str">
        <x:v>9. 합계</x:v>
      </x:c>
      <x:c r="B13" s="34" t="str">
        <x:v>J47=SUM(J6:J45), K47~M47에도 해당 열 SUM</x:v>
      </x:c>
    </x:row>
    <x:row r="14" ht="36" customHeight="1">
      <x:c r="A14" s="32" t="str">
        <x:v>10. 추가 과제</x:v>
      </x:c>
      <x:c r="B14" s="34" t="str">
        <x:v>분류별 판매금액 합계(SUMIF), 판매 상위 5개, 막대차트 만들기</x:v>
      </x:c>
    </x:row>
    <x:row r="15" ht="36" customHeight="1">
      <x:c r="A15" s="32" t="str">
        <x:v>참고</x:v>
      </x:c>
      <x:c r="B15" s="34" t="str">
        <x:v>단가·수량은 실습용 가상 데이터입니다. 판매이익은 비용·할인·폐기 등을 제외한 단순 차액입니다.</x:v>
      </x:c>
    </x:row>
  </x:sheetData>
  <x:mergeCells>
    <x:mergeCell ref="A1:H2"/>
  </x:mergeCells>
  <x:pageMargins left="0.7" right="0.7" top="0.75" bottom="0.75" header="0.3" footer="0.3"/>
</x:worksheet>
</file>