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mpbasic\엑셀기초\"/>
    </mc:Choice>
  </mc:AlternateContent>
  <xr:revisionPtr revIDLastSave="0" documentId="13_ncr:1_{F43081B7-F5B0-461B-88E2-E2730D5DB3A5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월간요약" sheetId="1" r:id="rId1"/>
    <sheet name="Sheet2" sheetId="4" r:id="rId2"/>
    <sheet name="지출내역" sheetId="2" r:id="rId3"/>
  </sheets>
  <calcPr calcId="191029"/>
  <pivotCaches>
    <pivotCache cacheId="5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G16" i="1"/>
  <c r="F16" i="1"/>
  <c r="E16" i="1"/>
  <c r="G15" i="1"/>
  <c r="F15" i="1"/>
  <c r="E15" i="1"/>
  <c r="B15" i="1"/>
  <c r="G14" i="1"/>
  <c r="F14" i="1"/>
  <c r="E14" i="1"/>
  <c r="B14" i="1"/>
  <c r="B12" i="1" s="1"/>
  <c r="G13" i="1"/>
  <c r="F13" i="1"/>
  <c r="E13" i="1"/>
  <c r="B13" i="1"/>
  <c r="G12" i="1"/>
  <c r="E12" i="1"/>
  <c r="F12" i="1" s="1"/>
  <c r="G11" i="1"/>
  <c r="F11" i="1"/>
  <c r="E11" i="1"/>
  <c r="G10" i="1"/>
  <c r="F10" i="1"/>
  <c r="E10" i="1"/>
  <c r="B10" i="1"/>
  <c r="F7" i="1" s="1"/>
  <c r="G9" i="1"/>
  <c r="F9" i="1"/>
  <c r="E9" i="1"/>
  <c r="B9" i="1"/>
  <c r="B11" i="1" s="1"/>
  <c r="G8" i="1"/>
  <c r="E8" i="1"/>
  <c r="F8" i="1" s="1"/>
  <c r="G7" i="1"/>
  <c r="E7" i="1"/>
  <c r="G6" i="1"/>
  <c r="E6" i="1"/>
  <c r="F6" i="1" s="1"/>
</calcChain>
</file>

<file path=xl/sharedStrings.xml><?xml version="1.0" encoding="utf-8"?>
<sst xmlns="http://schemas.openxmlformats.org/spreadsheetml/2006/main" count="146" uniqueCount="74">
  <si>
    <t>한 달 생활비 정리</t>
  </si>
  <si>
    <t>지출내역 시트에 입력한 내용을 함수로 집계한 9월 생활비 현황입니다.</t>
  </si>
  <si>
    <t>예산 설정</t>
  </si>
  <si>
    <t>금액</t>
  </si>
  <si>
    <t>분류</t>
  </si>
  <si>
    <t>지출 합계</t>
  </si>
  <si>
    <t>비중</t>
  </si>
  <si>
    <t>건수</t>
  </si>
  <si>
    <t>이번 달 지출 예산</t>
  </si>
  <si>
    <t>주거</t>
  </si>
  <si>
    <t>식비</t>
  </si>
  <si>
    <t>월간 통계</t>
  </si>
  <si>
    <t>결과</t>
  </si>
  <si>
    <t>교통</t>
  </si>
  <si>
    <t>총수입</t>
  </si>
  <si>
    <t>통신</t>
  </si>
  <si>
    <t>총지출</t>
  </si>
  <si>
    <t>공과금</t>
  </si>
  <si>
    <t>남은 금액</t>
  </si>
  <si>
    <t>보험</t>
  </si>
  <si>
    <t>1건 평균 지출</t>
  </si>
  <si>
    <t>의료</t>
  </si>
  <si>
    <t>가장 큰 지출</t>
  </si>
  <si>
    <t>생활용품</t>
  </si>
  <si>
    <t>지출 건수</t>
  </si>
  <si>
    <t>문화·여가</t>
  </si>
  <si>
    <t>예산 사용률</t>
  </si>
  <si>
    <t>경조사</t>
  </si>
  <si>
    <t>기타</t>
  </si>
  <si>
    <t>사용한 함수</t>
  </si>
  <si>
    <t>SUM</t>
  </si>
  <si>
    <t>MAX</t>
  </si>
  <si>
    <t>COUNTIFS</t>
  </si>
  <si>
    <t>SUMIFS</t>
  </si>
  <si>
    <t>IF</t>
  </si>
  <si>
    <t>나누기</t>
  </si>
  <si>
    <t>9월 생활비 입력 내역</t>
  </si>
  <si>
    <t>노란색 셀의 내용을 바꾸거나 새 행을 추가하면 월간요약의 통계와 차트가 자동으로 바뀝니다.</t>
  </si>
  <si>
    <t>날짜</t>
  </si>
  <si>
    <t>사용내역</t>
  </si>
  <si>
    <t>수입</t>
  </si>
  <si>
    <t>지출</t>
  </si>
  <si>
    <t>결제수단</t>
  </si>
  <si>
    <t>메모</t>
  </si>
  <si>
    <t>누적잔액</t>
  </si>
  <si>
    <t>월급</t>
  </si>
  <si>
    <t>계좌이체</t>
  </si>
  <si>
    <t>월세</t>
  </si>
  <si>
    <t>매월 고정</t>
  </si>
  <si>
    <t>마트 장보기</t>
  </si>
  <si>
    <t>카드</t>
  </si>
  <si>
    <t>버스 충전</t>
  </si>
  <si>
    <t>휴대전화 요금</t>
  </si>
  <si>
    <t>자동이체</t>
  </si>
  <si>
    <t>점심 식사</t>
  </si>
  <si>
    <t>세제와 휴지</t>
  </si>
  <si>
    <t>병원 진료</t>
  </si>
  <si>
    <t>시장 장보기</t>
  </si>
  <si>
    <t>현금</t>
  </si>
  <si>
    <t>영화 관람</t>
  </si>
  <si>
    <t>커피</t>
  </si>
  <si>
    <t>전기 요금</t>
  </si>
  <si>
    <t>외식</t>
  </si>
  <si>
    <t>건강보험</t>
  </si>
  <si>
    <t>택시</t>
  </si>
  <si>
    <t>친구 결혼식</t>
  </si>
  <si>
    <t>도서 구입</t>
  </si>
  <si>
    <t>약국</t>
  </si>
  <si>
    <t>주방용품</t>
  </si>
  <si>
    <t>주유</t>
  </si>
  <si>
    <t>미용실</t>
  </si>
  <si>
    <t>합계 : 지출</t>
  </si>
  <si>
    <t>행 레이블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</si>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</sst>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9">
    <font>
      <sz val="11"/>
      <name val="Carlito"/>
    </font>
    <font>
      <b/>
      <sz val="15"/>
      <color rgb="FF1F1F1F"/>
      <name val="Malgun Gothic"/>
      <family val="3"/>
      <charset val="129"/>
    </font>
    <font>
      <i/>
      <sz val="10"/>
      <color rgb="FF666666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1F1F1F"/>
      <name val="Malgun Gothic"/>
      <family val="3"/>
      <charset val="129"/>
    </font>
    <font>
      <b/>
      <sz val="10"/>
      <color rgb="FF9C6500"/>
      <name val="Malgun Gothic"/>
      <family val="3"/>
      <charset val="129"/>
    </font>
    <font>
      <b/>
      <sz val="10"/>
      <color rgb="FF375623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8F9FA"/>
      </patternFill>
    </fill>
    <fill>
      <patternFill patternType="solid">
        <fgColor rgb="FFE2F0D9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 style="thin">
        <color rgb="FFFFFFFF"/>
      </right>
      <top/>
      <bottom style="thin">
        <color rgb="FF17365D"/>
      </bottom>
      <diagonal/>
    </border>
    <border>
      <left style="thin">
        <color rgb="FFFFFFFF"/>
      </left>
      <right style="thin">
        <color rgb="FFFFFFFF"/>
      </right>
      <top/>
      <bottom style="thin">
        <color rgb="FF17365D"/>
      </bottom>
      <diagonal/>
    </border>
    <border>
      <left style="thin">
        <color rgb="FFFFFFFF"/>
      </left>
      <right/>
      <top/>
      <bottom style="thin">
        <color rgb="FF17365D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A9D18E"/>
      </left>
      <right/>
      <top style="thin">
        <color rgb="FFA9D18E"/>
      </top>
      <bottom style="thin">
        <color rgb="FFA9D18E"/>
      </bottom>
      <diagonal/>
    </border>
    <border>
      <left/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</borders>
  <cellStyleXfs count="2">
    <xf numFmtId="0" fontId="0" fillId="0" borderId="0"/>
    <xf numFmtId="0" fontId="7" fillId="0" borderId="0"/>
  </cellStyleXfs>
  <cellXfs count="66">
    <xf numFmtId="0" fontId="0" fillId="0" borderId="0" xfId="0"/>
    <xf numFmtId="0" fontId="0" fillId="0" borderId="1" xfId="1" applyFont="1" applyBorder="1"/>
    <xf numFmtId="0" fontId="1" fillId="0" borderId="1" xfId="1" applyFont="1" applyBorder="1"/>
    <xf numFmtId="0" fontId="2" fillId="0" borderId="0" xfId="1" applyFont="1"/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4" fillId="3" borderId="5" xfId="1" applyFont="1" applyFill="1" applyBorder="1"/>
    <xf numFmtId="0" fontId="4" fillId="3" borderId="6" xfId="1" applyFont="1" applyFill="1" applyBorder="1"/>
    <xf numFmtId="0" fontId="4" fillId="4" borderId="5" xfId="1" applyFont="1" applyFill="1" applyBorder="1" applyAlignment="1">
      <alignment vertical="center"/>
    </xf>
    <xf numFmtId="0" fontId="4" fillId="4" borderId="6" xfId="1" applyFont="1" applyFill="1" applyBorder="1" applyAlignment="1">
      <alignment vertical="center"/>
    </xf>
    <xf numFmtId="0" fontId="4" fillId="4" borderId="7" xfId="1" applyFont="1" applyFill="1" applyBorder="1" applyAlignment="1">
      <alignment vertical="center"/>
    </xf>
    <xf numFmtId="3" fontId="4" fillId="4" borderId="5" xfId="1" applyNumberFormat="1" applyFont="1" applyFill="1" applyBorder="1" applyAlignment="1">
      <alignment horizontal="right" vertical="center"/>
    </xf>
    <xf numFmtId="0" fontId="4" fillId="4" borderId="5" xfId="1" applyFont="1" applyFill="1" applyBorder="1" applyAlignment="1">
      <alignment horizontal="right" vertical="center"/>
    </xf>
    <xf numFmtId="3" fontId="4" fillId="5" borderId="5" xfId="1" applyNumberFormat="1" applyFont="1" applyFill="1" applyBorder="1" applyAlignment="1">
      <alignment horizontal="right"/>
    </xf>
    <xf numFmtId="3" fontId="4" fillId="4" borderId="6" xfId="1" applyNumberFormat="1" applyFont="1" applyFill="1" applyBorder="1" applyAlignment="1">
      <alignment horizontal="right" vertical="center"/>
    </xf>
    <xf numFmtId="0" fontId="4" fillId="4" borderId="6" xfId="1" applyFont="1" applyFill="1" applyBorder="1" applyAlignment="1">
      <alignment horizontal="right" vertical="center"/>
    </xf>
    <xf numFmtId="3" fontId="4" fillId="5" borderId="6" xfId="1" applyNumberFormat="1" applyFont="1" applyFill="1" applyBorder="1" applyAlignment="1">
      <alignment horizontal="right"/>
    </xf>
    <xf numFmtId="3" fontId="4" fillId="4" borderId="7" xfId="1" applyNumberFormat="1" applyFont="1" applyFill="1" applyBorder="1" applyAlignment="1">
      <alignment horizontal="right" vertical="center"/>
    </xf>
    <xf numFmtId="0" fontId="4" fillId="4" borderId="7" xfId="1" applyFont="1" applyFill="1" applyBorder="1" applyAlignment="1">
      <alignment horizontal="right" vertical="center"/>
    </xf>
    <xf numFmtId="3" fontId="4" fillId="3" borderId="5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right"/>
    </xf>
    <xf numFmtId="3" fontId="4" fillId="3" borderId="6" xfId="1" applyNumberFormat="1" applyFont="1" applyFill="1" applyBorder="1" applyAlignment="1">
      <alignment horizontal="right"/>
    </xf>
    <xf numFmtId="0" fontId="4" fillId="3" borderId="6" xfId="1" applyFont="1" applyFill="1" applyBorder="1" applyAlignment="1">
      <alignment horizontal="right"/>
    </xf>
    <xf numFmtId="3" fontId="4" fillId="5" borderId="7" xfId="1" applyNumberFormat="1" applyFont="1" applyFill="1" applyBorder="1" applyAlignment="1">
      <alignment horizontal="right"/>
    </xf>
    <xf numFmtId="176" fontId="4" fillId="4" borderId="5" xfId="1" applyNumberFormat="1" applyFont="1" applyFill="1" applyBorder="1" applyAlignment="1">
      <alignment horizontal="center" vertical="center"/>
    </xf>
    <xf numFmtId="176" fontId="4" fillId="4" borderId="6" xfId="1" applyNumberFormat="1" applyFont="1" applyFill="1" applyBorder="1" applyAlignment="1">
      <alignment horizontal="center" vertical="center"/>
    </xf>
    <xf numFmtId="176" fontId="4" fillId="4" borderId="7" xfId="1" applyNumberFormat="1" applyFont="1" applyFill="1" applyBorder="1" applyAlignment="1">
      <alignment horizontal="center" vertical="center"/>
    </xf>
    <xf numFmtId="176" fontId="4" fillId="3" borderId="5" xfId="1" applyNumberFormat="1" applyFont="1" applyFill="1" applyBorder="1" applyAlignment="1">
      <alignment horizontal="center"/>
    </xf>
    <xf numFmtId="176" fontId="4" fillId="3" borderId="6" xfId="1" applyNumberFormat="1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3" fillId="6" borderId="0" xfId="1" applyFont="1" applyFill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0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3" fontId="5" fillId="3" borderId="8" xfId="1" applyNumberFormat="1" applyFont="1" applyFill="1" applyBorder="1" applyAlignment="1">
      <alignment horizontal="right" vertical="center"/>
    </xf>
    <xf numFmtId="0" fontId="4" fillId="5" borderId="5" xfId="1" applyFont="1" applyFill="1" applyBorder="1" applyAlignment="1">
      <alignment vertical="center"/>
    </xf>
    <xf numFmtId="3" fontId="4" fillId="8" borderId="5" xfId="1" applyNumberFormat="1" applyFont="1" applyFill="1" applyBorder="1" applyAlignment="1">
      <alignment horizontal="right" vertical="center"/>
    </xf>
    <xf numFmtId="177" fontId="4" fillId="8" borderId="5" xfId="1" applyNumberFormat="1" applyFont="1" applyFill="1" applyBorder="1" applyAlignment="1">
      <alignment horizontal="right" vertical="center"/>
    </xf>
    <xf numFmtId="1" fontId="4" fillId="8" borderId="5" xfId="1" applyNumberFormat="1" applyFont="1" applyFill="1" applyBorder="1" applyAlignment="1">
      <alignment horizontal="right" vertical="center"/>
    </xf>
    <xf numFmtId="0" fontId="4" fillId="5" borderId="6" xfId="1" applyFont="1" applyFill="1" applyBorder="1" applyAlignment="1">
      <alignment vertical="center"/>
    </xf>
    <xf numFmtId="3" fontId="4" fillId="8" borderId="6" xfId="1" applyNumberFormat="1" applyFont="1" applyFill="1" applyBorder="1" applyAlignment="1">
      <alignment horizontal="right" vertical="center"/>
    </xf>
    <xf numFmtId="177" fontId="4" fillId="8" borderId="6" xfId="1" applyNumberFormat="1" applyFont="1" applyFill="1" applyBorder="1" applyAlignment="1">
      <alignment horizontal="right" vertical="center"/>
    </xf>
    <xf numFmtId="1" fontId="4" fillId="8" borderId="6" xfId="1" applyNumberFormat="1" applyFont="1" applyFill="1" applyBorder="1" applyAlignment="1">
      <alignment horizontal="right" vertical="center"/>
    </xf>
    <xf numFmtId="0" fontId="3" fillId="2" borderId="9" xfId="1" applyFont="1" applyFill="1" applyBorder="1" applyAlignment="1">
      <alignment horizontal="center" vertical="center"/>
    </xf>
    <xf numFmtId="0" fontId="4" fillId="5" borderId="10" xfId="1" applyFont="1" applyFill="1" applyBorder="1" applyAlignment="1">
      <alignment vertical="center"/>
    </xf>
    <xf numFmtId="3" fontId="4" fillId="7" borderId="10" xfId="1" applyNumberFormat="1" applyFont="1" applyFill="1" applyBorder="1" applyAlignment="1">
      <alignment horizontal="right" vertical="center"/>
    </xf>
    <xf numFmtId="1" fontId="4" fillId="7" borderId="10" xfId="1" applyNumberFormat="1" applyFont="1" applyFill="1" applyBorder="1" applyAlignment="1">
      <alignment horizontal="right" vertical="center"/>
    </xf>
    <xf numFmtId="0" fontId="4" fillId="5" borderId="11" xfId="1" applyFont="1" applyFill="1" applyBorder="1" applyAlignment="1">
      <alignment vertical="center"/>
    </xf>
    <xf numFmtId="177" fontId="4" fillId="7" borderId="11" xfId="1" applyNumberFormat="1" applyFont="1" applyFill="1" applyBorder="1" applyAlignment="1">
      <alignment horizontal="right" vertical="center"/>
    </xf>
    <xf numFmtId="0" fontId="4" fillId="5" borderId="7" xfId="1" applyFont="1" applyFill="1" applyBorder="1" applyAlignment="1">
      <alignment vertical="center"/>
    </xf>
    <xf numFmtId="3" fontId="4" fillId="8" borderId="7" xfId="1" applyNumberFormat="1" applyFont="1" applyFill="1" applyBorder="1" applyAlignment="1">
      <alignment horizontal="right" vertical="center"/>
    </xf>
    <xf numFmtId="177" fontId="4" fillId="8" borderId="7" xfId="1" applyNumberFormat="1" applyFont="1" applyFill="1" applyBorder="1" applyAlignment="1">
      <alignment horizontal="right" vertical="center"/>
    </xf>
    <xf numFmtId="1" fontId="4" fillId="8" borderId="7" xfId="1" applyNumberFormat="1" applyFont="1" applyFill="1" applyBorder="1" applyAlignment="1">
      <alignment horizontal="right" vertical="center"/>
    </xf>
    <xf numFmtId="0" fontId="6" fillId="9" borderId="15" xfId="1" applyFont="1" applyFill="1" applyBorder="1" applyAlignment="1">
      <alignment horizontal="center" vertical="center"/>
    </xf>
    <xf numFmtId="0" fontId="6" fillId="9" borderId="16" xfId="1" applyFont="1" applyFill="1" applyBorder="1" applyAlignment="1">
      <alignment horizontal="center" vertical="center"/>
    </xf>
    <xf numFmtId="0" fontId="6" fillId="9" borderId="17" xfId="1" applyFont="1" applyFill="1" applyBorder="1" applyAlignment="1">
      <alignment horizontal="center" vertical="center"/>
    </xf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표준" xfId="0" builtinId="0"/>
  </cellStyles>
  <dxfs count="2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 sz="900">
                <a:latin typeface="Malgun Gothic"/>
                <a:ea typeface="Malgun Gothic"/>
                <a:cs typeface="Malgun Gothic"/>
              </a:rPr>
              <a:t>분류별 지출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지출 합계</c:v>
          </c:tx>
          <c:spPr>
            <a:solidFill>
              <a:srgbClr val="5B9BD5"/>
            </a:solidFill>
          </c:spPr>
          <c:invertIfNegative val="1"/>
          <c:cat>
            <c:strRef>
              <c:f>월간요약!$D$6:$D$16</c:f>
              <c:strCache>
                <c:ptCount val="11"/>
                <c:pt idx="0">
                  <c:v>주거</c:v>
                </c:pt>
                <c:pt idx="1">
                  <c:v>식비</c:v>
                </c:pt>
                <c:pt idx="2">
                  <c:v>교통</c:v>
                </c:pt>
                <c:pt idx="3">
                  <c:v>통신</c:v>
                </c:pt>
                <c:pt idx="4">
                  <c:v>공과금</c:v>
                </c:pt>
                <c:pt idx="5">
                  <c:v>보험</c:v>
                </c:pt>
                <c:pt idx="6">
                  <c:v>의료</c:v>
                </c:pt>
                <c:pt idx="7">
                  <c:v>생활용품</c:v>
                </c:pt>
                <c:pt idx="8">
                  <c:v>문화·여가</c:v>
                </c:pt>
                <c:pt idx="9">
                  <c:v>경조사</c:v>
                </c:pt>
                <c:pt idx="10">
                  <c:v>기타</c:v>
                </c:pt>
              </c:strCache>
            </c:strRef>
          </c:cat>
          <c:val>
            <c:numRef>
              <c:f>월간요약!$E$6:$E$16</c:f>
              <c:numCache>
                <c:formatCode>#,##0</c:formatCode>
                <c:ptCount val="11"/>
                <c:pt idx="0">
                  <c:v>550000</c:v>
                </c:pt>
                <c:pt idx="1">
                  <c:v>311400</c:v>
                </c:pt>
                <c:pt idx="2">
                  <c:v>134300</c:v>
                </c:pt>
                <c:pt idx="3">
                  <c:v>66000</c:v>
                </c:pt>
                <c:pt idx="4">
                  <c:v>58500</c:v>
                </c:pt>
                <c:pt idx="5">
                  <c:v>128000</c:v>
                </c:pt>
                <c:pt idx="6">
                  <c:v>29800</c:v>
                </c:pt>
                <c:pt idx="7">
                  <c:v>61700</c:v>
                </c:pt>
                <c:pt idx="8">
                  <c:v>54000</c:v>
                </c:pt>
                <c:pt idx="9">
                  <c:v>100000</c:v>
                </c:pt>
                <c:pt idx="10">
                  <c:v>35000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CFB-4282-9649-23651F862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Malgun Gothic"/>
                <a:ea typeface="Malgun Gothic"/>
                <a:cs typeface="Malgun Gothic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Malgun Gothic"/>
                <a:ea typeface="Malgun Gothic"/>
                <a:cs typeface="Malgun Gothic"/>
              </a:defRPr>
            </a:pPr>
            <a:endParaRPr lang="ko-K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[한달_생활비_정리_실습.xlsx]Sheet2!피벗 테이블35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요약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Sheet2!$A$4:$A$25</c:f>
              <c:strCache>
                <c:ptCount val="21"/>
                <c:pt idx="0">
                  <c:v>건강보험</c:v>
                </c:pt>
                <c:pt idx="1">
                  <c:v>도서 구입</c:v>
                </c:pt>
                <c:pt idx="2">
                  <c:v>마트 장보기</c:v>
                </c:pt>
                <c:pt idx="3">
                  <c:v>미용실</c:v>
                </c:pt>
                <c:pt idx="4">
                  <c:v>버스 충전</c:v>
                </c:pt>
                <c:pt idx="5">
                  <c:v>병원 진료</c:v>
                </c:pt>
                <c:pt idx="6">
                  <c:v>세제와 휴지</c:v>
                </c:pt>
                <c:pt idx="7">
                  <c:v>시장 장보기</c:v>
                </c:pt>
                <c:pt idx="8">
                  <c:v>약국</c:v>
                </c:pt>
                <c:pt idx="9">
                  <c:v>영화 관람</c:v>
                </c:pt>
                <c:pt idx="10">
                  <c:v>외식</c:v>
                </c:pt>
                <c:pt idx="11">
                  <c:v>월급</c:v>
                </c:pt>
                <c:pt idx="12">
                  <c:v>월세</c:v>
                </c:pt>
                <c:pt idx="13">
                  <c:v>전기 요금</c:v>
                </c:pt>
                <c:pt idx="14">
                  <c:v>점심 식사</c:v>
                </c:pt>
                <c:pt idx="15">
                  <c:v>주방용품</c:v>
                </c:pt>
                <c:pt idx="16">
                  <c:v>주유</c:v>
                </c:pt>
                <c:pt idx="17">
                  <c:v>친구 결혼식</c:v>
                </c:pt>
                <c:pt idx="18">
                  <c:v>커피</c:v>
                </c:pt>
                <c:pt idx="19">
                  <c:v>택시</c:v>
                </c:pt>
                <c:pt idx="20">
                  <c:v>휴대전화 요금</c:v>
                </c:pt>
              </c:strCache>
            </c:strRef>
          </c:cat>
          <c:val>
            <c:numRef>
              <c:f>Sheet2!$B$4:$B$25</c:f>
              <c:numCache>
                <c:formatCode>#,##0</c:formatCode>
                <c:ptCount val="21"/>
                <c:pt idx="0">
                  <c:v>128000</c:v>
                </c:pt>
                <c:pt idx="1">
                  <c:v>24000</c:v>
                </c:pt>
                <c:pt idx="2">
                  <c:v>159200</c:v>
                </c:pt>
                <c:pt idx="3">
                  <c:v>35000</c:v>
                </c:pt>
                <c:pt idx="4">
                  <c:v>50000</c:v>
                </c:pt>
                <c:pt idx="5">
                  <c:v>17500</c:v>
                </c:pt>
                <c:pt idx="6">
                  <c:v>32800</c:v>
                </c:pt>
                <c:pt idx="7">
                  <c:v>47200</c:v>
                </c:pt>
                <c:pt idx="8">
                  <c:v>12300</c:v>
                </c:pt>
                <c:pt idx="9">
                  <c:v>30000</c:v>
                </c:pt>
                <c:pt idx="10">
                  <c:v>80000</c:v>
                </c:pt>
                <c:pt idx="11">
                  <c:v>0</c:v>
                </c:pt>
                <c:pt idx="12">
                  <c:v>550000</c:v>
                </c:pt>
                <c:pt idx="13">
                  <c:v>58500</c:v>
                </c:pt>
                <c:pt idx="14">
                  <c:v>20500</c:v>
                </c:pt>
                <c:pt idx="15">
                  <c:v>28900</c:v>
                </c:pt>
                <c:pt idx="16">
                  <c:v>70000</c:v>
                </c:pt>
                <c:pt idx="17">
                  <c:v>100000</c:v>
                </c:pt>
                <c:pt idx="18">
                  <c:v>4500</c:v>
                </c:pt>
                <c:pt idx="19">
                  <c:v>14300</c:v>
                </c:pt>
                <c:pt idx="20">
                  <c:v>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0-440E-B9A0-690D57A85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179200"/>
        <c:axId val="1873578912"/>
      </c:barChart>
      <c:catAx>
        <c:axId val="19711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3578912"/>
        <c:crosses val="autoZero"/>
        <c:auto val="1"/>
        <c:lblAlgn val="ctr"/>
        <c:lblOffset val="100"/>
        <c:noMultiLvlLbl val="0"/>
      </c:catAx>
      <c:valAx>
        <c:axId val="18735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11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938211</xdr:colOff>
      <xdr:row>3</xdr:row>
      <xdr:rowOff>14287</xdr:rowOff>
    </xdr:from>
    <xdr:to>
      <xdr:col>15</xdr:col>
      <xdr:colOff>200024</xdr:colOff>
      <xdr:row>29</xdr:row>
      <xdr:rowOff>28575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6221FCE-E9AE-4BE9-523C-A355B96C9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g park" refreshedDate="46287.604122685188" createdVersion="8" refreshedVersion="8" minRefreshableVersion="3" recordCount="24" xr:uid="{A8CBCDF5-96B7-4691-8FD8-402D04CFABC3}">
  <cacheSource type="worksheet">
    <worksheetSource name="ExpenseTable"/>
  </cacheSource>
  <cacheFields count="8">
    <cacheField name="날짜" numFmtId="176">
      <sharedItems containsSemiMixedTypes="0" containsNonDate="0" containsDate="1" containsString="0" minDate="2026-09-01T00:00:00" maxDate="2026-10-01T00:00:00"/>
    </cacheField>
    <cacheField name="분류" numFmtId="0">
      <sharedItems count="12">
        <s v="수입"/>
        <s v="주거"/>
        <s v="식비"/>
        <s v="교통"/>
        <s v="통신"/>
        <s v="생활용품"/>
        <s v="의료"/>
        <s v="문화·여가"/>
        <s v="공과금"/>
        <s v="보험"/>
        <s v="경조사"/>
        <s v="기타"/>
      </sharedItems>
    </cacheField>
    <cacheField name="사용내역" numFmtId="0">
      <sharedItems count="21">
        <s v="월급"/>
        <s v="월세"/>
        <s v="마트 장보기"/>
        <s v="버스 충전"/>
        <s v="휴대전화 요금"/>
        <s v="점심 식사"/>
        <s v="세제와 휴지"/>
        <s v="병원 진료"/>
        <s v="시장 장보기"/>
        <s v="영화 관람"/>
        <s v="커피"/>
        <s v="전기 요금"/>
        <s v="외식"/>
        <s v="건강보험"/>
        <s v="택시"/>
        <s v="친구 결혼식"/>
        <s v="도서 구입"/>
        <s v="약국"/>
        <s v="주방용품"/>
        <s v="주유"/>
        <s v="미용실"/>
      </sharedItems>
    </cacheField>
    <cacheField name="수입" numFmtId="3">
      <sharedItems containsSemiMixedTypes="0" containsString="0" containsNumber="1" containsInteger="1" minValue="0" maxValue="3200000"/>
    </cacheField>
    <cacheField name="지출" numFmtId="3">
      <sharedItems containsSemiMixedTypes="0" containsString="0" containsNumber="1" containsInteger="1" minValue="0" maxValue="550000"/>
    </cacheField>
    <cacheField name="결제수단" numFmtId="0">
      <sharedItems count="4">
        <s v="계좌이체"/>
        <s v="카드"/>
        <s v="자동이체"/>
        <s v="현금"/>
      </sharedItems>
    </cacheField>
    <cacheField name="메모" numFmtId="0">
      <sharedItems containsBlank="1"/>
    </cacheField>
    <cacheField name="누적잔액" numFmtId="3">
      <sharedItems containsSemiMixedTypes="0" containsString="0" containsNumber="1" containsInteger="1" minValue="1671300" maxValue="3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6-09-01T00:00:00"/>
    <x v="0"/>
    <x v="0"/>
    <n v="3200000"/>
    <n v="0"/>
    <x v="0"/>
    <m/>
    <n v="3200000"/>
  </r>
  <r>
    <d v="2026-09-01T00:00:00"/>
    <x v="1"/>
    <x v="1"/>
    <n v="0"/>
    <n v="550000"/>
    <x v="0"/>
    <s v="매월 고정"/>
    <n v="2650000"/>
  </r>
  <r>
    <d v="2026-09-02T00:00:00"/>
    <x v="2"/>
    <x v="2"/>
    <n v="0"/>
    <n v="86400"/>
    <x v="1"/>
    <m/>
    <n v="2563600"/>
  </r>
  <r>
    <d v="2026-09-03T00:00:00"/>
    <x v="3"/>
    <x v="3"/>
    <n v="0"/>
    <n v="50000"/>
    <x v="1"/>
    <m/>
    <n v="2513600"/>
  </r>
  <r>
    <d v="2026-09-04T00:00:00"/>
    <x v="4"/>
    <x v="4"/>
    <n v="0"/>
    <n v="66000"/>
    <x v="2"/>
    <s v="매월 고정"/>
    <n v="2447600"/>
  </r>
  <r>
    <d v="2026-09-05T00:00:00"/>
    <x v="2"/>
    <x v="5"/>
    <n v="0"/>
    <n v="11000"/>
    <x v="1"/>
    <m/>
    <n v="2436600"/>
  </r>
  <r>
    <d v="2026-09-06T00:00:00"/>
    <x v="5"/>
    <x v="6"/>
    <n v="0"/>
    <n v="32800"/>
    <x v="1"/>
    <m/>
    <n v="2403800"/>
  </r>
  <r>
    <d v="2026-09-08T00:00:00"/>
    <x v="6"/>
    <x v="7"/>
    <n v="0"/>
    <n v="17500"/>
    <x v="1"/>
    <m/>
    <n v="2386300"/>
  </r>
  <r>
    <d v="2026-09-09T00:00:00"/>
    <x v="2"/>
    <x v="8"/>
    <n v="0"/>
    <n v="47200"/>
    <x v="3"/>
    <m/>
    <n v="2339100"/>
  </r>
  <r>
    <d v="2026-09-10T00:00:00"/>
    <x v="7"/>
    <x v="9"/>
    <n v="0"/>
    <n v="30000"/>
    <x v="1"/>
    <m/>
    <n v="2309100"/>
  </r>
  <r>
    <d v="2026-09-11T00:00:00"/>
    <x v="2"/>
    <x v="10"/>
    <n v="0"/>
    <n v="4500"/>
    <x v="1"/>
    <m/>
    <n v="2304600"/>
  </r>
  <r>
    <d v="2026-09-12T00:00:00"/>
    <x v="8"/>
    <x v="11"/>
    <n v="0"/>
    <n v="58500"/>
    <x v="2"/>
    <s v="매월 고정"/>
    <n v="2246100"/>
  </r>
  <r>
    <d v="2026-09-13T00:00:00"/>
    <x v="2"/>
    <x v="12"/>
    <n v="0"/>
    <n v="42000"/>
    <x v="1"/>
    <m/>
    <n v="2204100"/>
  </r>
  <r>
    <d v="2026-09-15T00:00:00"/>
    <x v="9"/>
    <x v="13"/>
    <n v="0"/>
    <n v="128000"/>
    <x v="2"/>
    <s v="매월 고정"/>
    <n v="2076100"/>
  </r>
  <r>
    <d v="2026-09-16T00:00:00"/>
    <x v="3"/>
    <x v="14"/>
    <n v="0"/>
    <n v="14300"/>
    <x v="1"/>
    <m/>
    <n v="2061800"/>
  </r>
  <r>
    <d v="2026-09-18T00:00:00"/>
    <x v="2"/>
    <x v="2"/>
    <n v="0"/>
    <n v="72800"/>
    <x v="1"/>
    <m/>
    <n v="1989000"/>
  </r>
  <r>
    <d v="2026-09-20T00:00:00"/>
    <x v="10"/>
    <x v="15"/>
    <n v="0"/>
    <n v="100000"/>
    <x v="3"/>
    <m/>
    <n v="1889000"/>
  </r>
  <r>
    <d v="2026-09-21T00:00:00"/>
    <x v="7"/>
    <x v="16"/>
    <n v="0"/>
    <n v="24000"/>
    <x v="1"/>
    <m/>
    <n v="1865000"/>
  </r>
  <r>
    <d v="2026-09-23T00:00:00"/>
    <x v="2"/>
    <x v="5"/>
    <n v="0"/>
    <n v="9500"/>
    <x v="1"/>
    <m/>
    <n v="1855500"/>
  </r>
  <r>
    <d v="2026-09-24T00:00:00"/>
    <x v="6"/>
    <x v="17"/>
    <n v="0"/>
    <n v="12300"/>
    <x v="1"/>
    <m/>
    <n v="1843200"/>
  </r>
  <r>
    <d v="2026-09-25T00:00:00"/>
    <x v="5"/>
    <x v="18"/>
    <n v="0"/>
    <n v="28900"/>
    <x v="1"/>
    <m/>
    <n v="1814300"/>
  </r>
  <r>
    <d v="2026-09-27T00:00:00"/>
    <x v="3"/>
    <x v="19"/>
    <n v="0"/>
    <n v="70000"/>
    <x v="1"/>
    <m/>
    <n v="1744300"/>
  </r>
  <r>
    <d v="2026-09-28T00:00:00"/>
    <x v="2"/>
    <x v="12"/>
    <n v="0"/>
    <n v="38000"/>
    <x v="1"/>
    <m/>
    <n v="1706300"/>
  </r>
  <r>
    <d v="2026-09-30T00:00:00"/>
    <x v="11"/>
    <x v="20"/>
    <n v="0"/>
    <n v="35000"/>
    <x v="1"/>
    <m/>
    <n v="1671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77508-2049-4F6A-A1C6-7AA7BA10A6A4}" name="피벗 테이블35" cacheId="5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3">
  <location ref="A3:B25" firstHeaderRow="1" firstDataRow="1" firstDataCol="1"/>
  <pivotFields count="8">
    <pivotField numFmtId="176" showAll="0"/>
    <pivotField showAll="0">
      <items count="13">
        <item x="10"/>
        <item x="8"/>
        <item x="3"/>
        <item x="11"/>
        <item x="7"/>
        <item x="9"/>
        <item x="5"/>
        <item x="0"/>
        <item x="2"/>
        <item x="6"/>
        <item x="1"/>
        <item x="4"/>
        <item t="default"/>
      </items>
    </pivotField>
    <pivotField axis="axisRow" showAll="0">
      <items count="22">
        <item x="13"/>
        <item x="16"/>
        <item x="2"/>
        <item x="20"/>
        <item x="3"/>
        <item x="7"/>
        <item x="6"/>
        <item x="8"/>
        <item x="17"/>
        <item x="9"/>
        <item x="12"/>
        <item x="0"/>
        <item x="1"/>
        <item x="11"/>
        <item x="5"/>
        <item x="18"/>
        <item x="19"/>
        <item x="15"/>
        <item x="10"/>
        <item x="14"/>
        <item x="4"/>
        <item t="default"/>
      </items>
    </pivotField>
    <pivotField numFmtId="3" showAll="0"/>
    <pivotField dataField="1" numFmtId="3" showAll="0"/>
    <pivotField showAll="0">
      <items count="5">
        <item x="0"/>
        <item x="2"/>
        <item x="1"/>
        <item x="3"/>
        <item t="default"/>
      </items>
    </pivotField>
    <pivotField showAll="0"/>
    <pivotField numFmtId="3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합계 : 지출" fld="4" baseField="0" baseItem="0" numFmtId="3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Table" displayName="ExpenseTable" ref="A4:H28" totalsRowShown="0">
  <autoFilter ref="A4:H28" xr:uid="{00000000-0009-0000-0100-000001000000}"/>
  <tableColumns count="8">
    <tableColumn id="1" xr3:uid="{00000000-0010-0000-0000-000001000000}" name="날짜"/>
    <tableColumn id="2" xr3:uid="{00000000-0010-0000-0000-000002000000}" name="분류"/>
    <tableColumn id="3" xr3:uid="{00000000-0010-0000-0000-000003000000}" name="사용내역"/>
    <tableColumn id="4" xr3:uid="{00000000-0010-0000-0000-000004000000}" name="수입"/>
    <tableColumn id="5" xr3:uid="{00000000-0010-0000-0000-000005000000}" name="지출"/>
    <tableColumn id="6" xr3:uid="{00000000-0010-0000-0000-000006000000}" name="결제수단"/>
    <tableColumn id="7" xr3:uid="{00000000-0010-0000-0000-000007000000}" name="메모"/>
    <tableColumn id="8" xr3:uid="{00000000-0010-0000-0000-000008000000}" name="누적잔액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P18"/>
  <sheetViews>
    <sheetView showGridLines="0" workbookViewId="0">
      <selection activeCell="H2" sqref="H2"/>
    </sheetView>
  </sheetViews>
  <sheetFormatPr defaultRowHeight="14.25"/>
  <cols>
    <col min="1" max="1" width="17" customWidth="1"/>
    <col min="2" max="2" width="14" customWidth="1"/>
    <col min="3" max="3" width="3" customWidth="1"/>
    <col min="4" max="5" width="14" customWidth="1"/>
    <col min="6" max="6" width="11" customWidth="1"/>
    <col min="7" max="7" width="9" customWidth="1"/>
    <col min="8" max="8" width="3" customWidth="1"/>
    <col min="9" max="16" width="11" customWidth="1"/>
  </cols>
  <sheetData>
    <row r="2" spans="1:16" ht="2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spans="1:16" ht="23.1" customHeight="1">
      <c r="A5" s="35" t="s">
        <v>2</v>
      </c>
      <c r="B5" s="35" t="s">
        <v>3</v>
      </c>
      <c r="C5" s="39"/>
      <c r="D5" s="36" t="s">
        <v>4</v>
      </c>
      <c r="E5" s="37" t="s">
        <v>5</v>
      </c>
      <c r="F5" s="37" t="s">
        <v>6</v>
      </c>
      <c r="G5" s="38" t="s">
        <v>7</v>
      </c>
      <c r="H5" s="39"/>
      <c r="I5" s="39"/>
      <c r="J5" s="39"/>
      <c r="K5" s="39"/>
      <c r="L5" s="39"/>
      <c r="M5" s="39"/>
      <c r="N5" s="39"/>
      <c r="O5" s="39"/>
      <c r="P5" s="39"/>
    </row>
    <row r="6" spans="1:16" ht="23.1" customHeight="1">
      <c r="A6" s="40" t="s">
        <v>8</v>
      </c>
      <c r="B6" s="41">
        <v>1500000</v>
      </c>
      <c r="C6" s="39"/>
      <c r="D6" s="42" t="s">
        <v>9</v>
      </c>
      <c r="E6" s="43">
        <f>SUMIFS(지출내역!$E$5:$E$104,지출내역!$B$5:$B$104,D6)</f>
        <v>550000</v>
      </c>
      <c r="F6" s="44">
        <f t="shared" ref="F6:F16" si="0">IF($B$10=0,0,E6/$B$10)</f>
        <v>0.35978282200562567</v>
      </c>
      <c r="G6" s="45">
        <f>COUNTIFS(지출내역!$B$5:$B$104,D6,지출내역!$E$5:$E$104,"&gt;0")</f>
        <v>1</v>
      </c>
      <c r="H6" s="39"/>
      <c r="I6" s="39"/>
      <c r="J6" s="39"/>
      <c r="K6" s="39"/>
      <c r="L6" s="39"/>
      <c r="M6" s="39"/>
      <c r="N6" s="39"/>
      <c r="O6" s="39"/>
      <c r="P6" s="39"/>
    </row>
    <row r="7" spans="1:16" ht="23.1" customHeight="1">
      <c r="A7" s="39"/>
      <c r="B7" s="39"/>
      <c r="C7" s="39"/>
      <c r="D7" s="46" t="s">
        <v>10</v>
      </c>
      <c r="E7" s="47">
        <f>SUMIFS(지출내역!$E$5:$E$104,지출내역!$B$5:$B$104,D7)</f>
        <v>311400</v>
      </c>
      <c r="F7" s="48">
        <f t="shared" si="0"/>
        <v>0.20370249231373061</v>
      </c>
      <c r="G7" s="49">
        <f>COUNTIFS(지출내역!$B$5:$B$104,D7,지출내역!$E$5:$E$104,"&gt;0")</f>
        <v>8</v>
      </c>
      <c r="H7" s="39"/>
      <c r="I7" s="39"/>
      <c r="J7" s="39"/>
      <c r="K7" s="39"/>
      <c r="L7" s="39"/>
      <c r="M7" s="39"/>
      <c r="N7" s="39"/>
      <c r="O7" s="39"/>
      <c r="P7" s="39"/>
    </row>
    <row r="8" spans="1:16" ht="23.1" customHeight="1">
      <c r="A8" s="50" t="s">
        <v>11</v>
      </c>
      <c r="B8" s="50" t="s">
        <v>12</v>
      </c>
      <c r="C8" s="39"/>
      <c r="D8" s="46" t="s">
        <v>13</v>
      </c>
      <c r="E8" s="47">
        <f>SUMIFS(지출내역!$E$5:$E$104,지출내역!$B$5:$B$104,D8)</f>
        <v>134300</v>
      </c>
      <c r="F8" s="48">
        <f t="shared" si="0"/>
        <v>8.7852423627919146E-2</v>
      </c>
      <c r="G8" s="49">
        <f>COUNTIFS(지출내역!$B$5:$B$104,D8,지출내역!$E$5:$E$104,"&gt;0")</f>
        <v>3</v>
      </c>
      <c r="H8" s="39"/>
      <c r="I8" s="39"/>
      <c r="J8" s="39"/>
      <c r="K8" s="39"/>
      <c r="L8" s="39"/>
      <c r="M8" s="39"/>
      <c r="N8" s="39"/>
      <c r="O8" s="39"/>
      <c r="P8" s="39"/>
    </row>
    <row r="9" spans="1:16" ht="23.1" customHeight="1">
      <c r="A9" s="51" t="s">
        <v>14</v>
      </c>
      <c r="B9" s="52">
        <f>SUM(지출내역!$D$5:$D$104)</f>
        <v>3200000</v>
      </c>
      <c r="C9" s="39"/>
      <c r="D9" s="46" t="s">
        <v>15</v>
      </c>
      <c r="E9" s="47">
        <f>SUMIFS(지출내역!$E$5:$E$104,지출내역!$B$5:$B$104,D9)</f>
        <v>66000</v>
      </c>
      <c r="F9" s="48">
        <f t="shared" si="0"/>
        <v>4.3173938640675084E-2</v>
      </c>
      <c r="G9" s="49">
        <f>COUNTIFS(지출내역!$B$5:$B$104,D9,지출내역!$E$5:$E$104,"&gt;0")</f>
        <v>1</v>
      </c>
      <c r="H9" s="39"/>
      <c r="I9" s="39"/>
      <c r="J9" s="39"/>
      <c r="K9" s="39"/>
      <c r="L9" s="39"/>
      <c r="M9" s="39"/>
      <c r="N9" s="39"/>
      <c r="O9" s="39"/>
      <c r="P9" s="39"/>
    </row>
    <row r="10" spans="1:16" ht="23.1" customHeight="1">
      <c r="A10" s="51" t="s">
        <v>16</v>
      </c>
      <c r="B10" s="52">
        <f>SUM(지출내역!$E$5:$E$104)</f>
        <v>1528700</v>
      </c>
      <c r="C10" s="39"/>
      <c r="D10" s="46" t="s">
        <v>17</v>
      </c>
      <c r="E10" s="47">
        <f>SUMIFS(지출내역!$E$5:$E$104,지출내역!$B$5:$B$104,D10)</f>
        <v>58500</v>
      </c>
      <c r="F10" s="48">
        <f t="shared" si="0"/>
        <v>3.8267809249689276E-2</v>
      </c>
      <c r="G10" s="49">
        <f>COUNTIFS(지출내역!$B$5:$B$104,D10,지출내역!$E$5:$E$104,"&gt;0")</f>
        <v>1</v>
      </c>
      <c r="H10" s="39"/>
      <c r="I10" s="39"/>
      <c r="J10" s="39"/>
      <c r="K10" s="39"/>
      <c r="L10" s="39"/>
      <c r="M10" s="39"/>
      <c r="N10" s="39"/>
      <c r="O10" s="39"/>
      <c r="P10" s="39"/>
    </row>
    <row r="11" spans="1:16" ht="23.1" customHeight="1">
      <c r="A11" s="51" t="s">
        <v>18</v>
      </c>
      <c r="B11" s="52">
        <f>B9-B10</f>
        <v>1671300</v>
      </c>
      <c r="C11" s="39"/>
      <c r="D11" s="46" t="s">
        <v>19</v>
      </c>
      <c r="E11" s="47">
        <f>SUMIFS(지출내역!$E$5:$E$104,지출내역!$B$5:$B$104,D11)</f>
        <v>128000</v>
      </c>
      <c r="F11" s="48">
        <f t="shared" si="0"/>
        <v>8.3731274939491077E-2</v>
      </c>
      <c r="G11" s="49">
        <f>COUNTIFS(지출내역!$B$5:$B$104,D11,지출내역!$E$5:$E$104,"&gt;0")</f>
        <v>1</v>
      </c>
      <c r="H11" s="39"/>
      <c r="I11" s="39"/>
      <c r="J11" s="39"/>
      <c r="K11" s="39"/>
      <c r="L11" s="39"/>
      <c r="M11" s="39"/>
      <c r="N11" s="39"/>
      <c r="O11" s="39"/>
      <c r="P11" s="39"/>
    </row>
    <row r="12" spans="1:16" ht="23.1" customHeight="1">
      <c r="A12" s="51" t="s">
        <v>20</v>
      </c>
      <c r="B12" s="52">
        <f>IF(B14=0,0,B10/B14)</f>
        <v>66465.217391304352</v>
      </c>
      <c r="C12" s="39"/>
      <c r="D12" s="46" t="s">
        <v>21</v>
      </c>
      <c r="E12" s="47">
        <f>SUMIFS(지출내역!$E$5:$E$104,지출내역!$B$5:$B$104,D12)</f>
        <v>29800</v>
      </c>
      <c r="F12" s="48">
        <f t="shared" si="0"/>
        <v>1.9493687446850264E-2</v>
      </c>
      <c r="G12" s="49">
        <f>COUNTIFS(지출내역!$B$5:$B$104,D12,지출내역!$E$5:$E$104,"&gt;0")</f>
        <v>2</v>
      </c>
      <c r="H12" s="39"/>
      <c r="I12" s="39"/>
      <c r="J12" s="39"/>
      <c r="K12" s="39"/>
      <c r="L12" s="39"/>
      <c r="M12" s="39"/>
      <c r="N12" s="39"/>
      <c r="O12" s="39"/>
      <c r="P12" s="39"/>
    </row>
    <row r="13" spans="1:16" ht="23.1" customHeight="1">
      <c r="A13" s="51" t="s">
        <v>22</v>
      </c>
      <c r="B13" s="52">
        <f>MAX(지출내역!$E$5:$E$104)</f>
        <v>550000</v>
      </c>
      <c r="C13" s="39"/>
      <c r="D13" s="46" t="s">
        <v>23</v>
      </c>
      <c r="E13" s="47">
        <f>SUMIFS(지출내역!$E$5:$E$104,지출내역!$B$5:$B$104,D13)</f>
        <v>61700</v>
      </c>
      <c r="F13" s="48">
        <f t="shared" si="0"/>
        <v>4.0361091123176554E-2</v>
      </c>
      <c r="G13" s="49">
        <f>COUNTIFS(지출내역!$B$5:$B$104,D13,지출내역!$E$5:$E$104,"&gt;0")</f>
        <v>2</v>
      </c>
      <c r="H13" s="39"/>
      <c r="I13" s="39"/>
      <c r="J13" s="39"/>
      <c r="K13" s="39"/>
      <c r="L13" s="39"/>
      <c r="M13" s="39"/>
      <c r="N13" s="39"/>
      <c r="O13" s="39"/>
      <c r="P13" s="39"/>
    </row>
    <row r="14" spans="1:16" ht="23.1" customHeight="1">
      <c r="A14" s="51" t="s">
        <v>24</v>
      </c>
      <c r="B14" s="53">
        <f>COUNTIFS(지출내역!$E$5:$E$104,"&gt;0")</f>
        <v>23</v>
      </c>
      <c r="C14" s="39"/>
      <c r="D14" s="46" t="s">
        <v>25</v>
      </c>
      <c r="E14" s="47">
        <f>SUMIFS(지출내역!$E$5:$E$104,지출내역!$B$5:$B$104,D14)</f>
        <v>54000</v>
      </c>
      <c r="F14" s="48">
        <f t="shared" si="0"/>
        <v>3.5324131615097794E-2</v>
      </c>
      <c r="G14" s="49">
        <f>COUNTIFS(지출내역!$B$5:$B$104,D14,지출내역!$E$5:$E$104,"&gt;0")</f>
        <v>2</v>
      </c>
      <c r="H14" s="39"/>
      <c r="I14" s="39"/>
      <c r="J14" s="39"/>
      <c r="K14" s="39"/>
      <c r="L14" s="39"/>
      <c r="M14" s="39"/>
      <c r="N14" s="39"/>
      <c r="O14" s="39"/>
      <c r="P14" s="39"/>
    </row>
    <row r="15" spans="1:16" ht="23.1" customHeight="1">
      <c r="A15" s="54" t="s">
        <v>26</v>
      </c>
      <c r="B15" s="55">
        <f>IF(B6=0,"n.a.",B10/B6)</f>
        <v>1.0191333333333332</v>
      </c>
      <c r="C15" s="39"/>
      <c r="D15" s="46" t="s">
        <v>27</v>
      </c>
      <c r="E15" s="47">
        <f>SUMIFS(지출내역!$E$5:$E$104,지출내역!$B$5:$B$104,D15)</f>
        <v>100000</v>
      </c>
      <c r="F15" s="48">
        <f t="shared" si="0"/>
        <v>6.5415058546477403E-2</v>
      </c>
      <c r="G15" s="49">
        <f>COUNTIFS(지출내역!$B$5:$B$104,D15,지출내역!$E$5:$E$104,"&gt;0")</f>
        <v>1</v>
      </c>
      <c r="H15" s="39"/>
      <c r="I15" s="39"/>
      <c r="J15" s="39"/>
      <c r="K15" s="39"/>
      <c r="L15" s="39"/>
      <c r="M15" s="39"/>
      <c r="N15" s="39"/>
      <c r="O15" s="39"/>
      <c r="P15" s="39"/>
    </row>
    <row r="16" spans="1:16" ht="23.1" customHeight="1">
      <c r="A16" s="39"/>
      <c r="B16" s="39"/>
      <c r="C16" s="39"/>
      <c r="D16" s="56" t="s">
        <v>28</v>
      </c>
      <c r="E16" s="57">
        <f>SUMIFS(지출내역!$E$5:$E$104,지출내역!$B$5:$B$104,D16)</f>
        <v>35000</v>
      </c>
      <c r="F16" s="58">
        <f t="shared" si="0"/>
        <v>2.2895270491267088E-2</v>
      </c>
      <c r="G16" s="59">
        <f>COUNTIFS(지출내역!$B$5:$B$104,D16,지출내역!$E$5:$E$104,"&gt;0")</f>
        <v>1</v>
      </c>
      <c r="H16" s="39"/>
      <c r="I16" s="39"/>
      <c r="J16" s="39"/>
      <c r="K16" s="39"/>
      <c r="L16" s="39"/>
      <c r="M16" s="39"/>
      <c r="N16" s="39"/>
      <c r="O16" s="39"/>
      <c r="P16" s="39"/>
    </row>
    <row r="17" spans="1:16" ht="23.1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</row>
    <row r="18" spans="1:16" ht="23.1" customHeight="1">
      <c r="A18" s="60" t="s">
        <v>29</v>
      </c>
      <c r="B18" s="61" t="s">
        <v>30</v>
      </c>
      <c r="C18" s="61" t="s">
        <v>31</v>
      </c>
      <c r="D18" s="61" t="s">
        <v>32</v>
      </c>
      <c r="E18" s="61" t="s">
        <v>33</v>
      </c>
      <c r="F18" s="61" t="s">
        <v>34</v>
      </c>
      <c r="G18" s="62" t="s">
        <v>35</v>
      </c>
      <c r="H18" s="39"/>
      <c r="I18" s="39"/>
      <c r="J18" s="39"/>
      <c r="K18" s="39"/>
      <c r="L18" s="39"/>
      <c r="M18" s="39"/>
      <c r="N18" s="39"/>
      <c r="O18" s="39"/>
      <c r="P18" s="39"/>
    </row>
  </sheetData>
  <phoneticPr fontId="8" type="noConversion"/>
  <conditionalFormatting sqref="B15">
    <cfRule type="cellIs" dxfId="1" priority="1" operator="greaterThan">
      <formula>1</formula>
    </cfRule>
    <cfRule type="cellIs" dxfId="0" priority="2" operator="between">
      <formula>0.8</formula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9821-5390-40BA-B7E1-A2B4176C16A7}">
  <dimension ref="A3:B25"/>
  <sheetViews>
    <sheetView tabSelected="1" workbookViewId="0">
      <selection activeCell="I33" sqref="I33"/>
    </sheetView>
  </sheetViews>
  <sheetFormatPr defaultRowHeight="14.25"/>
  <cols>
    <col min="1" max="1" width="13.625" bestFit="1" customWidth="1"/>
    <col min="2" max="2" width="10.5" bestFit="1" customWidth="1"/>
    <col min="3" max="3" width="14.75" bestFit="1" customWidth="1"/>
    <col min="4" max="4" width="10.5" bestFit="1" customWidth="1"/>
  </cols>
  <sheetData>
    <row r="3" spans="1:2">
      <c r="A3" s="63" t="s">
        <v>72</v>
      </c>
      <c r="B3" t="s">
        <v>71</v>
      </c>
    </row>
    <row r="4" spans="1:2">
      <c r="A4" s="65" t="s">
        <v>63</v>
      </c>
      <c r="B4" s="64">
        <v>128000</v>
      </c>
    </row>
    <row r="5" spans="1:2">
      <c r="A5" s="65" t="s">
        <v>66</v>
      </c>
      <c r="B5" s="64">
        <v>24000</v>
      </c>
    </row>
    <row r="6" spans="1:2">
      <c r="A6" s="65" t="s">
        <v>49</v>
      </c>
      <c r="B6" s="64">
        <v>159200</v>
      </c>
    </row>
    <row r="7" spans="1:2">
      <c r="A7" s="65" t="s">
        <v>70</v>
      </c>
      <c r="B7" s="64">
        <v>35000</v>
      </c>
    </row>
    <row r="8" spans="1:2">
      <c r="A8" s="65" t="s">
        <v>51</v>
      </c>
      <c r="B8" s="64">
        <v>50000</v>
      </c>
    </row>
    <row r="9" spans="1:2">
      <c r="A9" s="65" t="s">
        <v>56</v>
      </c>
      <c r="B9" s="64">
        <v>17500</v>
      </c>
    </row>
    <row r="10" spans="1:2">
      <c r="A10" s="65" t="s">
        <v>55</v>
      </c>
      <c r="B10" s="64">
        <v>32800</v>
      </c>
    </row>
    <row r="11" spans="1:2">
      <c r="A11" s="65" t="s">
        <v>57</v>
      </c>
      <c r="B11" s="64">
        <v>47200</v>
      </c>
    </row>
    <row r="12" spans="1:2">
      <c r="A12" s="65" t="s">
        <v>67</v>
      </c>
      <c r="B12" s="64">
        <v>12300</v>
      </c>
    </row>
    <row r="13" spans="1:2">
      <c r="A13" s="65" t="s">
        <v>59</v>
      </c>
      <c r="B13" s="64">
        <v>30000</v>
      </c>
    </row>
    <row r="14" spans="1:2">
      <c r="A14" s="65" t="s">
        <v>62</v>
      </c>
      <c r="B14" s="64">
        <v>80000</v>
      </c>
    </row>
    <row r="15" spans="1:2">
      <c r="A15" s="65" t="s">
        <v>45</v>
      </c>
      <c r="B15" s="64">
        <v>0</v>
      </c>
    </row>
    <row r="16" spans="1:2">
      <c r="A16" s="65" t="s">
        <v>47</v>
      </c>
      <c r="B16" s="64">
        <v>550000</v>
      </c>
    </row>
    <row r="17" spans="1:2">
      <c r="A17" s="65" t="s">
        <v>61</v>
      </c>
      <c r="B17" s="64">
        <v>58500</v>
      </c>
    </row>
    <row r="18" spans="1:2">
      <c r="A18" s="65" t="s">
        <v>54</v>
      </c>
      <c r="B18" s="64">
        <v>20500</v>
      </c>
    </row>
    <row r="19" spans="1:2">
      <c r="A19" s="65" t="s">
        <v>68</v>
      </c>
      <c r="B19" s="64">
        <v>28900</v>
      </c>
    </row>
    <row r="20" spans="1:2">
      <c r="A20" s="65" t="s">
        <v>69</v>
      </c>
      <c r="B20" s="64">
        <v>70000</v>
      </c>
    </row>
    <row r="21" spans="1:2">
      <c r="A21" s="65" t="s">
        <v>65</v>
      </c>
      <c r="B21" s="64">
        <v>100000</v>
      </c>
    </row>
    <row r="22" spans="1:2">
      <c r="A22" s="65" t="s">
        <v>60</v>
      </c>
      <c r="B22" s="64">
        <v>4500</v>
      </c>
    </row>
    <row r="23" spans="1:2">
      <c r="A23" s="65" t="s">
        <v>64</v>
      </c>
      <c r="B23" s="64">
        <v>14300</v>
      </c>
    </row>
    <row r="24" spans="1:2">
      <c r="A24" s="65" t="s">
        <v>52</v>
      </c>
      <c r="B24" s="64">
        <v>66000</v>
      </c>
    </row>
    <row r="25" spans="1:2">
      <c r="A25" s="65" t="s">
        <v>73</v>
      </c>
      <c r="B25" s="64">
        <v>1528700</v>
      </c>
    </row>
  </sheetData>
  <phoneticPr fontId="8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C3E6"/>
  </sheetPr>
  <dimension ref="A2:H34"/>
  <sheetViews>
    <sheetView showGridLines="0" workbookViewId="0">
      <pane ySplit="4" topLeftCell="A12" activePane="bottomLeft" state="frozen"/>
      <selection pane="bottomLeft" activeCell="A4" sqref="A4:H28"/>
    </sheetView>
  </sheetViews>
  <sheetFormatPr defaultRowHeight="14.25"/>
  <cols>
    <col min="1" max="1" width="12" customWidth="1"/>
    <col min="2" max="2" width="13" customWidth="1"/>
    <col min="3" max="3" width="20" customWidth="1"/>
    <col min="4" max="5" width="13" customWidth="1"/>
    <col min="6" max="6" width="14" customWidth="1"/>
    <col min="7" max="7" width="18" customWidth="1"/>
    <col min="8" max="8" width="15" customWidth="1"/>
  </cols>
  <sheetData>
    <row r="2" spans="1:8" ht="24">
      <c r="A2" s="2" t="s">
        <v>36</v>
      </c>
      <c r="B2" s="1"/>
      <c r="C2" s="1"/>
      <c r="D2" s="1"/>
      <c r="E2" s="1"/>
      <c r="F2" s="1"/>
      <c r="G2" s="1"/>
      <c r="H2" s="1"/>
    </row>
    <row r="3" spans="1:8" ht="15">
      <c r="A3" s="3" t="s">
        <v>37</v>
      </c>
      <c r="B3" s="3"/>
      <c r="C3" s="3"/>
      <c r="D3" s="3"/>
      <c r="E3" s="3"/>
      <c r="F3" s="3"/>
      <c r="G3" s="3"/>
      <c r="H3" s="3"/>
    </row>
    <row r="4" spans="1:8" ht="24" customHeight="1">
      <c r="A4" s="4" t="s">
        <v>38</v>
      </c>
      <c r="B4" s="5" t="s">
        <v>4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6" t="s">
        <v>44</v>
      </c>
    </row>
    <row r="5" spans="1:8" ht="21.95" customHeight="1">
      <c r="A5" s="25">
        <v>46266</v>
      </c>
      <c r="B5" s="30" t="s">
        <v>40</v>
      </c>
      <c r="C5" s="9" t="s">
        <v>45</v>
      </c>
      <c r="D5" s="12">
        <v>3200000</v>
      </c>
      <c r="E5" s="12">
        <v>0</v>
      </c>
      <c r="F5" s="30" t="s">
        <v>46</v>
      </c>
      <c r="G5" s="13"/>
      <c r="H5" s="14">
        <f>IF(A5="","",SUM($D$5:D5)-SUM($E$5:E5))</f>
        <v>3200000</v>
      </c>
    </row>
    <row r="6" spans="1:8" ht="21.95" customHeight="1">
      <c r="A6" s="26">
        <v>46266</v>
      </c>
      <c r="B6" s="31" t="s">
        <v>9</v>
      </c>
      <c r="C6" s="10" t="s">
        <v>47</v>
      </c>
      <c r="D6" s="15">
        <v>0</v>
      </c>
      <c r="E6" s="15">
        <v>550000</v>
      </c>
      <c r="F6" s="31" t="s">
        <v>46</v>
      </c>
      <c r="G6" s="16" t="s">
        <v>48</v>
      </c>
      <c r="H6" s="17">
        <f>IF(A6="","",SUM($D$5:D6)-SUM($E$5:E6))</f>
        <v>2650000</v>
      </c>
    </row>
    <row r="7" spans="1:8" ht="21.95" customHeight="1">
      <c r="A7" s="26">
        <v>46267</v>
      </c>
      <c r="B7" s="31" t="s">
        <v>10</v>
      </c>
      <c r="C7" s="10" t="s">
        <v>49</v>
      </c>
      <c r="D7" s="15">
        <v>0</v>
      </c>
      <c r="E7" s="15">
        <v>86400</v>
      </c>
      <c r="F7" s="31" t="s">
        <v>50</v>
      </c>
      <c r="G7" s="16"/>
      <c r="H7" s="17">
        <f>IF(A7="","",SUM($D$5:D7)-SUM($E$5:E7))</f>
        <v>2563600</v>
      </c>
    </row>
    <row r="8" spans="1:8" ht="21.95" customHeight="1">
      <c r="A8" s="26">
        <v>46268</v>
      </c>
      <c r="B8" s="31" t="s">
        <v>13</v>
      </c>
      <c r="C8" s="10" t="s">
        <v>51</v>
      </c>
      <c r="D8" s="15">
        <v>0</v>
      </c>
      <c r="E8" s="15">
        <v>50000</v>
      </c>
      <c r="F8" s="31" t="s">
        <v>50</v>
      </c>
      <c r="G8" s="16"/>
      <c r="H8" s="17">
        <f>IF(A8="","",SUM($D$5:D8)-SUM($E$5:E8))</f>
        <v>2513600</v>
      </c>
    </row>
    <row r="9" spans="1:8" ht="21.95" customHeight="1">
      <c r="A9" s="26">
        <v>46269</v>
      </c>
      <c r="B9" s="31" t="s">
        <v>15</v>
      </c>
      <c r="C9" s="10" t="s">
        <v>52</v>
      </c>
      <c r="D9" s="15">
        <v>0</v>
      </c>
      <c r="E9" s="15">
        <v>66000</v>
      </c>
      <c r="F9" s="31" t="s">
        <v>53</v>
      </c>
      <c r="G9" s="16" t="s">
        <v>48</v>
      </c>
      <c r="H9" s="17">
        <f>IF(A9="","",SUM($D$5:D9)-SUM($E$5:E9))</f>
        <v>2447600</v>
      </c>
    </row>
    <row r="10" spans="1:8" ht="21.95" customHeight="1">
      <c r="A10" s="26">
        <v>46270</v>
      </c>
      <c r="B10" s="31" t="s">
        <v>10</v>
      </c>
      <c r="C10" s="10" t="s">
        <v>54</v>
      </c>
      <c r="D10" s="15">
        <v>0</v>
      </c>
      <c r="E10" s="15">
        <v>11000</v>
      </c>
      <c r="F10" s="31" t="s">
        <v>50</v>
      </c>
      <c r="G10" s="16"/>
      <c r="H10" s="17">
        <f>IF(A10="","",SUM($D$5:D10)-SUM($E$5:E10))</f>
        <v>2436600</v>
      </c>
    </row>
    <row r="11" spans="1:8" ht="21.95" customHeight="1">
      <c r="A11" s="26">
        <v>46271</v>
      </c>
      <c r="B11" s="31" t="s">
        <v>23</v>
      </c>
      <c r="C11" s="10" t="s">
        <v>55</v>
      </c>
      <c r="D11" s="15">
        <v>0</v>
      </c>
      <c r="E11" s="15">
        <v>32800</v>
      </c>
      <c r="F11" s="31" t="s">
        <v>50</v>
      </c>
      <c r="G11" s="16"/>
      <c r="H11" s="17">
        <f>IF(A11="","",SUM($D$5:D11)-SUM($E$5:E11))</f>
        <v>2403800</v>
      </c>
    </row>
    <row r="12" spans="1:8" ht="21.95" customHeight="1">
      <c r="A12" s="26">
        <v>46273</v>
      </c>
      <c r="B12" s="31" t="s">
        <v>21</v>
      </c>
      <c r="C12" s="10" t="s">
        <v>56</v>
      </c>
      <c r="D12" s="15">
        <v>0</v>
      </c>
      <c r="E12" s="15">
        <v>17500</v>
      </c>
      <c r="F12" s="31" t="s">
        <v>50</v>
      </c>
      <c r="G12" s="16"/>
      <c r="H12" s="17">
        <f>IF(A12="","",SUM($D$5:D12)-SUM($E$5:E12))</f>
        <v>2386300</v>
      </c>
    </row>
    <row r="13" spans="1:8" ht="21.95" customHeight="1">
      <c r="A13" s="26">
        <v>46274</v>
      </c>
      <c r="B13" s="31" t="s">
        <v>10</v>
      </c>
      <c r="C13" s="10" t="s">
        <v>57</v>
      </c>
      <c r="D13" s="15">
        <v>0</v>
      </c>
      <c r="E13" s="15">
        <v>47200</v>
      </c>
      <c r="F13" s="31" t="s">
        <v>58</v>
      </c>
      <c r="G13" s="16"/>
      <c r="H13" s="17">
        <f>IF(A13="","",SUM($D$5:D13)-SUM($E$5:E13))</f>
        <v>2339100</v>
      </c>
    </row>
    <row r="14" spans="1:8" ht="21.95" customHeight="1">
      <c r="A14" s="26">
        <v>46275</v>
      </c>
      <c r="B14" s="31" t="s">
        <v>25</v>
      </c>
      <c r="C14" s="10" t="s">
        <v>59</v>
      </c>
      <c r="D14" s="15">
        <v>0</v>
      </c>
      <c r="E14" s="15">
        <v>30000</v>
      </c>
      <c r="F14" s="31" t="s">
        <v>50</v>
      </c>
      <c r="G14" s="16"/>
      <c r="H14" s="17">
        <f>IF(A14="","",SUM($D$5:D14)-SUM($E$5:E14))</f>
        <v>2309100</v>
      </c>
    </row>
    <row r="15" spans="1:8" ht="21.95" customHeight="1">
      <c r="A15" s="26">
        <v>46276</v>
      </c>
      <c r="B15" s="31" t="s">
        <v>10</v>
      </c>
      <c r="C15" s="10" t="s">
        <v>60</v>
      </c>
      <c r="D15" s="15">
        <v>0</v>
      </c>
      <c r="E15" s="15">
        <v>4500</v>
      </c>
      <c r="F15" s="31" t="s">
        <v>50</v>
      </c>
      <c r="G15" s="16"/>
      <c r="H15" s="17">
        <f>IF(A15="","",SUM($D$5:D15)-SUM($E$5:E15))</f>
        <v>2304600</v>
      </c>
    </row>
    <row r="16" spans="1:8" ht="21.95" customHeight="1">
      <c r="A16" s="26">
        <v>46277</v>
      </c>
      <c r="B16" s="31" t="s">
        <v>17</v>
      </c>
      <c r="C16" s="10" t="s">
        <v>61</v>
      </c>
      <c r="D16" s="15">
        <v>0</v>
      </c>
      <c r="E16" s="15">
        <v>58500</v>
      </c>
      <c r="F16" s="31" t="s">
        <v>53</v>
      </c>
      <c r="G16" s="16" t="s">
        <v>48</v>
      </c>
      <c r="H16" s="17">
        <f>IF(A16="","",SUM($D$5:D16)-SUM($E$5:E16))</f>
        <v>2246100</v>
      </c>
    </row>
    <row r="17" spans="1:8" ht="21.95" customHeight="1">
      <c r="A17" s="26">
        <v>46278</v>
      </c>
      <c r="B17" s="31" t="s">
        <v>10</v>
      </c>
      <c r="C17" s="10" t="s">
        <v>62</v>
      </c>
      <c r="D17" s="15">
        <v>0</v>
      </c>
      <c r="E17" s="15">
        <v>42000</v>
      </c>
      <c r="F17" s="31" t="s">
        <v>50</v>
      </c>
      <c r="G17" s="16"/>
      <c r="H17" s="17">
        <f>IF(A17="","",SUM($D$5:D17)-SUM($E$5:E17))</f>
        <v>2204100</v>
      </c>
    </row>
    <row r="18" spans="1:8" ht="21.95" customHeight="1">
      <c r="A18" s="26">
        <v>46280</v>
      </c>
      <c r="B18" s="31" t="s">
        <v>19</v>
      </c>
      <c r="C18" s="10" t="s">
        <v>63</v>
      </c>
      <c r="D18" s="15">
        <v>0</v>
      </c>
      <c r="E18" s="15">
        <v>128000</v>
      </c>
      <c r="F18" s="31" t="s">
        <v>53</v>
      </c>
      <c r="G18" s="16" t="s">
        <v>48</v>
      </c>
      <c r="H18" s="17">
        <f>IF(A18="","",SUM($D$5:D18)-SUM($E$5:E18))</f>
        <v>2076100</v>
      </c>
    </row>
    <row r="19" spans="1:8" ht="21.95" customHeight="1">
      <c r="A19" s="26">
        <v>46281</v>
      </c>
      <c r="B19" s="31" t="s">
        <v>13</v>
      </c>
      <c r="C19" s="10" t="s">
        <v>64</v>
      </c>
      <c r="D19" s="15">
        <v>0</v>
      </c>
      <c r="E19" s="15">
        <v>14300</v>
      </c>
      <c r="F19" s="31" t="s">
        <v>50</v>
      </c>
      <c r="G19" s="16"/>
      <c r="H19" s="17">
        <f>IF(A19="","",SUM($D$5:D19)-SUM($E$5:E19))</f>
        <v>2061800</v>
      </c>
    </row>
    <row r="20" spans="1:8" ht="21.95" customHeight="1">
      <c r="A20" s="26">
        <v>46283</v>
      </c>
      <c r="B20" s="31" t="s">
        <v>10</v>
      </c>
      <c r="C20" s="10" t="s">
        <v>49</v>
      </c>
      <c r="D20" s="15">
        <v>0</v>
      </c>
      <c r="E20" s="15">
        <v>72800</v>
      </c>
      <c r="F20" s="31" t="s">
        <v>50</v>
      </c>
      <c r="G20" s="16"/>
      <c r="H20" s="17">
        <f>IF(A20="","",SUM($D$5:D20)-SUM($E$5:E20))</f>
        <v>1989000</v>
      </c>
    </row>
    <row r="21" spans="1:8" ht="21.95" customHeight="1">
      <c r="A21" s="26">
        <v>46285</v>
      </c>
      <c r="B21" s="31" t="s">
        <v>27</v>
      </c>
      <c r="C21" s="10" t="s">
        <v>65</v>
      </c>
      <c r="D21" s="15">
        <v>0</v>
      </c>
      <c r="E21" s="15">
        <v>100000</v>
      </c>
      <c r="F21" s="31" t="s">
        <v>58</v>
      </c>
      <c r="G21" s="16"/>
      <c r="H21" s="17">
        <f>IF(A21="","",SUM($D$5:D21)-SUM($E$5:E21))</f>
        <v>1889000</v>
      </c>
    </row>
    <row r="22" spans="1:8" ht="21.95" customHeight="1">
      <c r="A22" s="26">
        <v>46286</v>
      </c>
      <c r="B22" s="31" t="s">
        <v>25</v>
      </c>
      <c r="C22" s="10" t="s">
        <v>66</v>
      </c>
      <c r="D22" s="15">
        <v>0</v>
      </c>
      <c r="E22" s="15">
        <v>24000</v>
      </c>
      <c r="F22" s="31" t="s">
        <v>50</v>
      </c>
      <c r="G22" s="16"/>
      <c r="H22" s="17">
        <f>IF(A22="","",SUM($D$5:D22)-SUM($E$5:E22))</f>
        <v>1865000</v>
      </c>
    </row>
    <row r="23" spans="1:8" ht="21.95" customHeight="1">
      <c r="A23" s="26">
        <v>46288</v>
      </c>
      <c r="B23" s="31" t="s">
        <v>10</v>
      </c>
      <c r="C23" s="10" t="s">
        <v>54</v>
      </c>
      <c r="D23" s="15">
        <v>0</v>
      </c>
      <c r="E23" s="15">
        <v>9500</v>
      </c>
      <c r="F23" s="31" t="s">
        <v>50</v>
      </c>
      <c r="G23" s="16"/>
      <c r="H23" s="17">
        <f>IF(A23="","",SUM($D$5:D23)-SUM($E$5:E23))</f>
        <v>1855500</v>
      </c>
    </row>
    <row r="24" spans="1:8" ht="21.95" customHeight="1">
      <c r="A24" s="26">
        <v>46289</v>
      </c>
      <c r="B24" s="31" t="s">
        <v>21</v>
      </c>
      <c r="C24" s="10" t="s">
        <v>67</v>
      </c>
      <c r="D24" s="15">
        <v>0</v>
      </c>
      <c r="E24" s="15">
        <v>12300</v>
      </c>
      <c r="F24" s="31" t="s">
        <v>50</v>
      </c>
      <c r="G24" s="16"/>
      <c r="H24" s="17">
        <f>IF(A24="","",SUM($D$5:D24)-SUM($E$5:E24))</f>
        <v>1843200</v>
      </c>
    </row>
    <row r="25" spans="1:8" ht="21.95" customHeight="1">
      <c r="A25" s="26">
        <v>46290</v>
      </c>
      <c r="B25" s="31" t="s">
        <v>23</v>
      </c>
      <c r="C25" s="10" t="s">
        <v>68</v>
      </c>
      <c r="D25" s="15">
        <v>0</v>
      </c>
      <c r="E25" s="15">
        <v>28900</v>
      </c>
      <c r="F25" s="31" t="s">
        <v>50</v>
      </c>
      <c r="G25" s="16"/>
      <c r="H25" s="17">
        <f>IF(A25="","",SUM($D$5:D25)-SUM($E$5:E25))</f>
        <v>1814300</v>
      </c>
    </row>
    <row r="26" spans="1:8" ht="21.95" customHeight="1">
      <c r="A26" s="26">
        <v>46292</v>
      </c>
      <c r="B26" s="31" t="s">
        <v>13</v>
      </c>
      <c r="C26" s="10" t="s">
        <v>69</v>
      </c>
      <c r="D26" s="15">
        <v>0</v>
      </c>
      <c r="E26" s="15">
        <v>70000</v>
      </c>
      <c r="F26" s="31" t="s">
        <v>50</v>
      </c>
      <c r="G26" s="16"/>
      <c r="H26" s="17">
        <f>IF(A26="","",SUM($D$5:D26)-SUM($E$5:E26))</f>
        <v>1744300</v>
      </c>
    </row>
    <row r="27" spans="1:8" ht="21.95" customHeight="1">
      <c r="A27" s="26">
        <v>46293</v>
      </c>
      <c r="B27" s="31" t="s">
        <v>10</v>
      </c>
      <c r="C27" s="10" t="s">
        <v>62</v>
      </c>
      <c r="D27" s="15">
        <v>0</v>
      </c>
      <c r="E27" s="15">
        <v>38000</v>
      </c>
      <c r="F27" s="31" t="s">
        <v>50</v>
      </c>
      <c r="G27" s="16"/>
      <c r="H27" s="17">
        <f>IF(A27="","",SUM($D$5:D27)-SUM($E$5:E27))</f>
        <v>1706300</v>
      </c>
    </row>
    <row r="28" spans="1:8" ht="21.95" customHeight="1">
      <c r="A28" s="27">
        <v>46295</v>
      </c>
      <c r="B28" s="32" t="s">
        <v>28</v>
      </c>
      <c r="C28" s="11" t="s">
        <v>70</v>
      </c>
      <c r="D28" s="18">
        <v>0</v>
      </c>
      <c r="E28" s="18">
        <v>35000</v>
      </c>
      <c r="F28" s="32" t="s">
        <v>50</v>
      </c>
      <c r="G28" s="19"/>
      <c r="H28" s="17">
        <f>IF(A28="","",SUM($D$5:D28)-SUM($E$5:E28))</f>
        <v>1671300</v>
      </c>
    </row>
    <row r="29" spans="1:8" ht="21.95" customHeight="1">
      <c r="A29" s="28"/>
      <c r="B29" s="33"/>
      <c r="C29" s="7"/>
      <c r="D29" s="20"/>
      <c r="E29" s="20"/>
      <c r="F29" s="33"/>
      <c r="G29" s="21"/>
      <c r="H29" s="17" t="str">
        <f>IF(A29="","",SUM($D$5:D29)-SUM($E$5:E29))</f>
        <v/>
      </c>
    </row>
    <row r="30" spans="1:8" ht="21.95" customHeight="1">
      <c r="A30" s="29"/>
      <c r="B30" s="34"/>
      <c r="C30" s="8"/>
      <c r="D30" s="22"/>
      <c r="E30" s="22"/>
      <c r="F30" s="34"/>
      <c r="G30" s="23"/>
      <c r="H30" s="17" t="str">
        <f>IF(A30="","",SUM($D$5:D30)-SUM($E$5:E30))</f>
        <v/>
      </c>
    </row>
    <row r="31" spans="1:8" ht="21.95" customHeight="1">
      <c r="A31" s="29"/>
      <c r="B31" s="34"/>
      <c r="C31" s="8"/>
      <c r="D31" s="22"/>
      <c r="E31" s="22"/>
      <c r="F31" s="34"/>
      <c r="G31" s="23"/>
      <c r="H31" s="17" t="str">
        <f>IF(A31="","",SUM($D$5:D31)-SUM($E$5:E31))</f>
        <v/>
      </c>
    </row>
    <row r="32" spans="1:8" ht="21.95" customHeight="1">
      <c r="A32" s="29"/>
      <c r="B32" s="34"/>
      <c r="C32" s="8"/>
      <c r="D32" s="22"/>
      <c r="E32" s="22"/>
      <c r="F32" s="34"/>
      <c r="G32" s="23"/>
      <c r="H32" s="17" t="str">
        <f>IF(A32="","",SUM($D$5:D32)-SUM($E$5:E32))</f>
        <v/>
      </c>
    </row>
    <row r="33" spans="1:8" ht="21.95" customHeight="1">
      <c r="A33" s="29"/>
      <c r="B33" s="34"/>
      <c r="C33" s="8"/>
      <c r="D33" s="22"/>
      <c r="E33" s="22"/>
      <c r="F33" s="34"/>
      <c r="G33" s="23"/>
      <c r="H33" s="17" t="str">
        <f>IF(A33="","",SUM($D$5:D33)-SUM($E$5:E33))</f>
        <v/>
      </c>
    </row>
    <row r="34" spans="1:8" ht="21.95" customHeight="1">
      <c r="A34" s="29"/>
      <c r="B34" s="34"/>
      <c r="C34" s="8"/>
      <c r="D34" s="22"/>
      <c r="E34" s="22"/>
      <c r="F34" s="34"/>
      <c r="G34" s="23"/>
      <c r="H34" s="24" t="str">
        <f>IF(A34="","",SUM($D$5:D34)-SUM($E$5:E34))</f>
        <v/>
      </c>
    </row>
  </sheetData>
  <phoneticPr fontId="8" type="noConversion"/>
  <dataValidations count="2">
    <dataValidation type="list" sqref="B5:B34" xr:uid="{00000000-0002-0000-0100-000000000000}">
      <formula1>"수입,주거,식비,교통,통신,공과금,보험,의료,생활용품,문화·여가,경조사,기타"</formula1>
    </dataValidation>
    <dataValidation type="list" sqref="F5:F34" xr:uid="{00000000-0002-0000-0100-000001000000}">
      <formula1>"현금,카드,계좌이체,자동이체"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월간요약</vt:lpstr>
      <vt:lpstr>Sheet2</vt:lpstr>
      <vt:lpstr>지출내역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2026-09-22T05:33:15Z</dcterms:modified>
</cp:coreProperties>
</file>