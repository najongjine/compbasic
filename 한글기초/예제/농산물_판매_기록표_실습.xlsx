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ompbasic\한글기초\예제\"/>
    </mc:Choice>
  </mc:AlternateContent>
  <xr:revisionPtr revIDLastSave="0" documentId="13_ncr:1_{DA7CD6F2-4608-40F0-A36F-C1F284965EF7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판매요약" sheetId="1" r:id="rId1"/>
    <sheet name="판매기록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2" l="1"/>
  <c r="F36" i="2"/>
  <c r="F35" i="2"/>
  <c r="F34" i="2"/>
  <c r="F33" i="2"/>
  <c r="J32" i="2"/>
  <c r="I32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H12" i="1"/>
  <c r="E12" i="1"/>
  <c r="H11" i="1"/>
  <c r="F11" i="1"/>
  <c r="E11" i="1"/>
  <c r="I11" i="1" s="1"/>
  <c r="B11" i="1"/>
  <c r="H10" i="1"/>
  <c r="F10" i="1"/>
  <c r="E10" i="1"/>
  <c r="I10" i="1" s="1"/>
  <c r="H9" i="1"/>
  <c r="F9" i="1"/>
  <c r="E9" i="1"/>
  <c r="I9" i="1" s="1"/>
  <c r="H8" i="1"/>
  <c r="F8" i="1"/>
  <c r="E8" i="1"/>
  <c r="I8" i="1" s="1"/>
  <c r="B8" i="1"/>
  <c r="I7" i="1"/>
  <c r="H7" i="1"/>
  <c r="F7" i="1"/>
  <c r="E7" i="1"/>
  <c r="B7" i="1"/>
  <c r="E6" i="1"/>
  <c r="B6" i="1"/>
  <c r="J37" i="2" l="1"/>
  <c r="I37" i="2"/>
  <c r="J36" i="2"/>
  <c r="I36" i="2"/>
  <c r="J35" i="2"/>
  <c r="I35" i="2"/>
  <c r="J34" i="2"/>
  <c r="I34" i="2"/>
  <c r="J33" i="2"/>
  <c r="I33" i="2"/>
  <c r="I31" i="2"/>
  <c r="J31" i="2" s="1"/>
  <c r="I30" i="2"/>
  <c r="J30" i="2" s="1"/>
  <c r="I29" i="2"/>
  <c r="J29" i="2" s="1"/>
  <c r="I28" i="2"/>
  <c r="J28" i="2" s="1"/>
  <c r="J27" i="2"/>
  <c r="I27" i="2"/>
  <c r="I26" i="2"/>
  <c r="J26" i="2"/>
  <c r="I25" i="2"/>
  <c r="J25" i="2"/>
  <c r="I24" i="2"/>
  <c r="J24" i="2" s="1"/>
  <c r="I23" i="2"/>
  <c r="J23" i="2" s="1"/>
  <c r="I22" i="2"/>
  <c r="J22" i="2"/>
  <c r="I21" i="2"/>
  <c r="J21" i="2" s="1"/>
  <c r="I20" i="2"/>
  <c r="J20" i="2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F12" i="1"/>
  <c r="I12" i="1" s="1"/>
  <c r="I11" i="2"/>
  <c r="J11" i="2" s="1"/>
  <c r="I10" i="2"/>
  <c r="J10" i="2" s="1"/>
  <c r="I9" i="2"/>
  <c r="J9" i="2"/>
  <c r="I8" i="2"/>
  <c r="J8" i="2" s="1"/>
  <c r="I7" i="2"/>
  <c r="J7" i="2"/>
  <c r="I6" i="2"/>
  <c r="J6" i="2" s="1"/>
  <c r="H6" i="1"/>
  <c r="B10" i="1"/>
  <c r="I5" i="2"/>
  <c r="J5" i="2" s="1"/>
  <c r="B12" i="1" s="1"/>
  <c r="F6" i="1"/>
  <c r="G12" i="1"/>
  <c r="G9" i="1"/>
  <c r="G7" i="1"/>
  <c r="G11" i="1"/>
  <c r="G8" i="1"/>
  <c r="G10" i="1"/>
  <c r="B9" i="1" l="1"/>
  <c r="I6" i="1"/>
  <c r="G6" i="1"/>
</calcChain>
</file>

<file path=xl/sharedStrings.xml><?xml version="1.0" encoding="utf-8"?>
<sst xmlns="http://schemas.openxmlformats.org/spreadsheetml/2006/main" count="163" uniqueCount="56">
  <si>
    <t>농산물 판매 현황</t>
  </si>
  <si>
    <t>판매기록을 품목별로 묶어 판매량·매출액·비중·판매 건수·평균단가를 집계했습니다.</t>
  </si>
  <si>
    <t>전체 판매 통계</t>
  </si>
  <si>
    <t>결과</t>
  </si>
  <si>
    <t>품목</t>
  </si>
  <si>
    <t>판매량(kg)</t>
  </si>
  <si>
    <t>매출액</t>
  </si>
  <si>
    <t>매출 비중</t>
  </si>
  <si>
    <t>판매 건수</t>
  </si>
  <si>
    <t>평균단가</t>
  </si>
  <si>
    <t>총 판매량(kg)</t>
  </si>
  <si>
    <t>토마토</t>
  </si>
  <si>
    <t>총 매출액</t>
  </si>
  <si>
    <t>딸기</t>
  </si>
  <si>
    <t>수금액</t>
  </si>
  <si>
    <t>오이</t>
  </si>
  <si>
    <t>미수금</t>
  </si>
  <si>
    <t>상추</t>
  </si>
  <si>
    <t>건당 평균 매출</t>
  </si>
  <si>
    <t>파프리카</t>
  </si>
  <si>
    <t>최고 판매액</t>
  </si>
  <si>
    <t>감자</t>
  </si>
  <si>
    <t>완납률</t>
  </si>
  <si>
    <t>고구마</t>
  </si>
  <si>
    <t>사용한 계산</t>
  </si>
  <si>
    <t>수량×단가</t>
  </si>
  <si>
    <t>SUM</t>
  </si>
  <si>
    <t>SUMIFS</t>
  </si>
  <si>
    <t>COUNTIFS</t>
  </si>
  <si>
    <t>MAX</t>
  </si>
  <si>
    <t>IF</t>
  </si>
  <si>
    <t>비중</t>
  </si>
  <si>
    <t>농산물 판매 기록</t>
  </si>
  <si>
    <t>노란색 셀에 판매 내용을 입력하면 판매금액·미수금·결제상태와 판매요약이 자동으로 계산됩니다.</t>
  </si>
  <si>
    <t>판매일</t>
  </si>
  <si>
    <t>등급</t>
  </si>
  <si>
    <t>수량(kg)</t>
  </si>
  <si>
    <t>단가(원/kg)</t>
  </si>
  <si>
    <t>판매금액</t>
  </si>
  <si>
    <t>판매처</t>
  </si>
  <si>
    <t>결제상태</t>
  </si>
  <si>
    <t>결제수단</t>
  </si>
  <si>
    <t>비고</t>
  </si>
  <si>
    <t>특</t>
  </si>
  <si>
    <t>광주로컬마트</t>
  </si>
  <si>
    <t>계좌이체</t>
  </si>
  <si>
    <t>상</t>
  </si>
  <si>
    <t>한마음식당</t>
  </si>
  <si>
    <t>현금</t>
  </si>
  <si>
    <t>농협공판장</t>
  </si>
  <si>
    <t>온라인주문</t>
  </si>
  <si>
    <t>카드</t>
  </si>
  <si>
    <t>택배</t>
  </si>
  <si>
    <t>보통</t>
  </si>
  <si>
    <t>일부 미수</t>
  </si>
  <si>
    <t>직거래장터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</si>
</sst>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#,##0.0"/>
    <numFmt numFmtId="178" formatCode="0.0%"/>
  </numFmts>
  <fonts count="8">
    <font>
      <sz val="11"/>
      <name val="Carlito"/>
    </font>
    <font>
      <b/>
      <sz val="15"/>
      <color rgb="FF1F1F1F"/>
      <name val="Malgun Gothic"/>
      <family val="3"/>
      <charset val="129"/>
    </font>
    <font>
      <i/>
      <sz val="10"/>
      <color rgb="FF666666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sz val="10"/>
      <color rgb="FF1F1F1F"/>
      <name val="Malgun Gothic"/>
      <family val="3"/>
      <charset val="129"/>
    </font>
    <font>
      <b/>
      <sz val="10"/>
      <color rgb="FF375623"/>
      <name val="Malgun Gothic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548235"/>
      </patternFill>
    </fill>
    <fill>
      <patternFill patternType="solid">
        <fgColor rgb="FFFFF9E6"/>
      </patternFill>
    </fill>
    <fill>
      <patternFill patternType="solid">
        <fgColor rgb="FFE2F0D9"/>
      </patternFill>
    </fill>
    <fill>
      <patternFill patternType="solid">
        <fgColor rgb="FFF8F9FA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548235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E7E6E6"/>
      </bottom>
      <diagonal/>
    </border>
    <border>
      <left/>
      <right/>
      <top style="thin">
        <color rgb="FFE7E6E6"/>
      </top>
      <bottom style="thin">
        <color rgb="FFE7E6E6"/>
      </bottom>
      <diagonal/>
    </border>
    <border>
      <left/>
      <right/>
      <top style="thin">
        <color rgb="FFE7E6E6"/>
      </top>
      <bottom/>
      <diagonal/>
    </border>
    <border>
      <left/>
      <right/>
      <top/>
      <bottom style="thin">
        <color rgb="FFD9EAD3"/>
      </bottom>
      <diagonal/>
    </border>
    <border>
      <left/>
      <right/>
      <top style="thin">
        <color rgb="FFD9EAD3"/>
      </top>
      <bottom style="thin">
        <color rgb="FFD9EAD3"/>
      </bottom>
      <diagonal/>
    </border>
    <border>
      <left/>
      <right/>
      <top style="thin">
        <color rgb="FFD9EAD3"/>
      </top>
      <bottom/>
      <diagonal/>
    </border>
    <border>
      <left style="thin">
        <color rgb="FFA9D18E"/>
      </left>
      <right/>
      <top style="thin">
        <color rgb="FFA9D18E"/>
      </top>
      <bottom style="thin">
        <color rgb="FFA9D18E"/>
      </bottom>
      <diagonal/>
    </border>
    <border>
      <left/>
      <right/>
      <top style="thin">
        <color rgb="FFA9D18E"/>
      </top>
      <bottom style="thin">
        <color rgb="FFA9D18E"/>
      </bottom>
      <diagonal/>
    </border>
    <border>
      <left/>
      <right style="thin">
        <color rgb="FFA9D18E"/>
      </right>
      <top style="thin">
        <color rgb="FFA9D18E"/>
      </top>
      <bottom style="thin">
        <color rgb="FFA9D18E"/>
      </bottom>
      <diagonal/>
    </border>
  </borders>
  <cellStyleXfs count="2">
    <xf numFmtId="0" fontId="0" fillId="0" borderId="0"/>
    <xf numFmtId="0" fontId="6" fillId="0" borderId="0"/>
  </cellStyleXfs>
  <cellXfs count="53">
    <xf numFmtId="0" fontId="0" fillId="0" borderId="0" xfId="0"/>
    <xf numFmtId="0" fontId="0" fillId="0" borderId="1" xfId="1" applyFont="1" applyBorder="1"/>
    <xf numFmtId="0" fontId="1" fillId="0" borderId="1" xfId="1" applyFont="1" applyBorder="1"/>
    <xf numFmtId="0" fontId="2" fillId="0" borderId="0" xfId="1" applyFont="1"/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vertical="center"/>
    </xf>
    <xf numFmtId="0" fontId="4" fillId="4" borderId="5" xfId="1" applyFont="1" applyFill="1" applyBorder="1" applyAlignment="1">
      <alignment vertical="center"/>
    </xf>
    <xf numFmtId="0" fontId="4" fillId="3" borderId="6" xfId="1" applyFont="1" applyFill="1" applyBorder="1" applyAlignment="1">
      <alignment vertical="center"/>
    </xf>
    <xf numFmtId="0" fontId="4" fillId="4" borderId="6" xfId="1" applyFont="1" applyFill="1" applyBorder="1" applyAlignment="1">
      <alignment vertical="center"/>
    </xf>
    <xf numFmtId="0" fontId="4" fillId="3" borderId="7" xfId="1" applyFont="1" applyFill="1" applyBorder="1" applyAlignment="1">
      <alignment vertical="center"/>
    </xf>
    <xf numFmtId="0" fontId="4" fillId="4" borderId="7" xfId="1" applyFont="1" applyFill="1" applyBorder="1" applyAlignment="1">
      <alignment vertical="center"/>
    </xf>
    <xf numFmtId="177" fontId="4" fillId="3" borderId="5" xfId="1" applyNumberFormat="1" applyFont="1" applyFill="1" applyBorder="1" applyAlignment="1">
      <alignment horizontal="right" vertical="center"/>
    </xf>
    <xf numFmtId="3" fontId="4" fillId="3" borderId="5" xfId="1" applyNumberFormat="1" applyFont="1" applyFill="1" applyBorder="1" applyAlignment="1">
      <alignment horizontal="right" vertical="center"/>
    </xf>
    <xf numFmtId="3" fontId="4" fillId="4" borderId="5" xfId="1" applyNumberFormat="1" applyFont="1" applyFill="1" applyBorder="1" applyAlignment="1">
      <alignment horizontal="right" vertical="center"/>
    </xf>
    <xf numFmtId="177" fontId="4" fillId="3" borderId="6" xfId="1" applyNumberFormat="1" applyFont="1" applyFill="1" applyBorder="1" applyAlignment="1">
      <alignment horizontal="right" vertical="center"/>
    </xf>
    <xf numFmtId="3" fontId="4" fillId="3" borderId="6" xfId="1" applyNumberFormat="1" applyFont="1" applyFill="1" applyBorder="1" applyAlignment="1">
      <alignment horizontal="right" vertical="center"/>
    </xf>
    <xf numFmtId="3" fontId="4" fillId="4" borderId="6" xfId="1" applyNumberFormat="1" applyFont="1" applyFill="1" applyBorder="1" applyAlignment="1">
      <alignment horizontal="right" vertical="center"/>
    </xf>
    <xf numFmtId="177" fontId="4" fillId="3" borderId="7" xfId="1" applyNumberFormat="1" applyFont="1" applyFill="1" applyBorder="1" applyAlignment="1">
      <alignment horizontal="right" vertical="center"/>
    </xf>
    <xf numFmtId="3" fontId="4" fillId="3" borderId="7" xfId="1" applyNumberFormat="1" applyFont="1" applyFill="1" applyBorder="1" applyAlignment="1">
      <alignment horizontal="right" vertical="center"/>
    </xf>
    <xf numFmtId="3" fontId="4" fillId="4" borderId="7" xfId="1" applyNumberFormat="1" applyFont="1" applyFill="1" applyBorder="1" applyAlignment="1">
      <alignment horizontal="right" vertical="center"/>
    </xf>
    <xf numFmtId="176" fontId="4" fillId="3" borderId="5" xfId="1" applyNumberFormat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176" fontId="4" fillId="3" borderId="6" xfId="1" applyNumberFormat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176" fontId="4" fillId="3" borderId="7" xfId="1" applyNumberFormat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/>
    </xf>
    <xf numFmtId="0" fontId="4" fillId="4" borderId="7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0" fillId="0" borderId="0" xfId="1" applyFont="1" applyAlignment="1">
      <alignment vertical="center"/>
    </xf>
    <xf numFmtId="0" fontId="4" fillId="4" borderId="9" xfId="1" applyFont="1" applyFill="1" applyBorder="1" applyAlignment="1">
      <alignment vertical="center"/>
    </xf>
    <xf numFmtId="177" fontId="4" fillId="5" borderId="9" xfId="1" applyNumberFormat="1" applyFont="1" applyFill="1" applyBorder="1" applyAlignment="1">
      <alignment horizontal="right" vertical="center"/>
    </xf>
    <xf numFmtId="177" fontId="4" fillId="5" borderId="5" xfId="1" applyNumberFormat="1" applyFont="1" applyFill="1" applyBorder="1" applyAlignment="1">
      <alignment horizontal="right" vertical="center"/>
    </xf>
    <xf numFmtId="3" fontId="4" fillId="5" borderId="5" xfId="1" applyNumberFormat="1" applyFont="1" applyFill="1" applyBorder="1" applyAlignment="1">
      <alignment horizontal="right" vertical="center"/>
    </xf>
    <xf numFmtId="178" fontId="4" fillId="5" borderId="5" xfId="1" applyNumberFormat="1" applyFont="1" applyFill="1" applyBorder="1" applyAlignment="1">
      <alignment horizontal="right" vertical="center"/>
    </xf>
    <xf numFmtId="1" fontId="4" fillId="5" borderId="5" xfId="1" applyNumberFormat="1" applyFont="1" applyFill="1" applyBorder="1" applyAlignment="1">
      <alignment horizontal="right" vertical="center"/>
    </xf>
    <xf numFmtId="3" fontId="4" fillId="5" borderId="9" xfId="1" applyNumberFormat="1" applyFont="1" applyFill="1" applyBorder="1" applyAlignment="1">
      <alignment horizontal="right" vertical="center"/>
    </xf>
    <xf numFmtId="177" fontId="4" fillId="5" borderId="6" xfId="1" applyNumberFormat="1" applyFont="1" applyFill="1" applyBorder="1" applyAlignment="1">
      <alignment horizontal="right" vertical="center"/>
    </xf>
    <xf numFmtId="3" fontId="4" fillId="5" borderId="6" xfId="1" applyNumberFormat="1" applyFont="1" applyFill="1" applyBorder="1" applyAlignment="1">
      <alignment horizontal="right" vertical="center"/>
    </xf>
    <xf numFmtId="178" fontId="4" fillId="5" borderId="6" xfId="1" applyNumberFormat="1" applyFont="1" applyFill="1" applyBorder="1" applyAlignment="1">
      <alignment horizontal="right" vertical="center"/>
    </xf>
    <xf numFmtId="1" fontId="4" fillId="5" borderId="6" xfId="1" applyNumberFormat="1" applyFont="1" applyFill="1" applyBorder="1" applyAlignment="1">
      <alignment horizontal="right" vertical="center"/>
    </xf>
    <xf numFmtId="0" fontId="4" fillId="4" borderId="10" xfId="1" applyFont="1" applyFill="1" applyBorder="1" applyAlignment="1">
      <alignment vertical="center"/>
    </xf>
    <xf numFmtId="178" fontId="4" fillId="5" borderId="10" xfId="1" applyNumberFormat="1" applyFont="1" applyFill="1" applyBorder="1" applyAlignment="1">
      <alignment horizontal="right" vertical="center"/>
    </xf>
    <xf numFmtId="177" fontId="4" fillId="5" borderId="7" xfId="1" applyNumberFormat="1" applyFont="1" applyFill="1" applyBorder="1" applyAlignment="1">
      <alignment horizontal="right" vertical="center"/>
    </xf>
    <xf numFmtId="3" fontId="4" fillId="5" borderId="7" xfId="1" applyNumberFormat="1" applyFont="1" applyFill="1" applyBorder="1" applyAlignment="1">
      <alignment horizontal="right" vertical="center"/>
    </xf>
    <xf numFmtId="178" fontId="4" fillId="5" borderId="7" xfId="1" applyNumberFormat="1" applyFont="1" applyFill="1" applyBorder="1" applyAlignment="1">
      <alignment horizontal="right" vertical="center"/>
    </xf>
    <xf numFmtId="1" fontId="4" fillId="5" borderId="7" xfId="1" applyNumberFormat="1" applyFont="1" applyFill="1" applyBorder="1" applyAlignment="1">
      <alignment horizontal="right" vertical="center"/>
    </xf>
    <xf numFmtId="0" fontId="5" fillId="4" borderId="11" xfId="1" applyFont="1" applyFill="1" applyBorder="1" applyAlignment="1">
      <alignment horizontal="center" vertical="center"/>
    </xf>
    <xf numFmtId="0" fontId="5" fillId="4" borderId="12" xfId="1" applyFont="1" applyFill="1" applyBorder="1" applyAlignment="1">
      <alignment horizontal="center" vertical="center"/>
    </xf>
    <xf numFmtId="0" fontId="5" fillId="4" borderId="13" xfId="1" applyFont="1" applyFill="1" applyBorder="1" applyAlignment="1">
      <alignment horizontal="center" vertical="center"/>
    </xf>
  </cellXfs>
  <cellStyles count="2">
    <cellStyle name="Normal" xfId="1" xr:uid="{00000000-0005-0000-0000-000000000000}"/>
    <cellStyle name="표준" xfId="0" builtinId="0"/>
  </cellStyles>
  <dxfs count="3"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rPr lang="ko-KR" altLang="en-US" sz="900">
                <a:latin typeface="Malgun Gothic"/>
                <a:ea typeface="Malgun Gothic"/>
                <a:cs typeface="Malgun Gothic"/>
              </a:rPr>
              <a:t>품목별 매출액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매출액</c:v>
          </c:tx>
          <c:spPr>
            <a:solidFill>
              <a:srgbClr val="70AD47"/>
            </a:solidFill>
          </c:spPr>
          <c:invertIfNegative val="1"/>
          <c:cat>
            <c:strRef>
              <c:f>판매요약!$D$6:$D$12</c:f>
              <c:strCache>
                <c:ptCount val="7"/>
                <c:pt idx="0">
                  <c:v>토마토</c:v>
                </c:pt>
                <c:pt idx="1">
                  <c:v>딸기</c:v>
                </c:pt>
                <c:pt idx="2">
                  <c:v>오이</c:v>
                </c:pt>
                <c:pt idx="3">
                  <c:v>상추</c:v>
                </c:pt>
                <c:pt idx="4">
                  <c:v>파프리카</c:v>
                </c:pt>
                <c:pt idx="5">
                  <c:v>감자</c:v>
                </c:pt>
                <c:pt idx="6">
                  <c:v>고구마</c:v>
                </c:pt>
              </c:strCache>
            </c:strRef>
          </c:cat>
          <c:val>
            <c:numRef>
              <c:f>판매요약!$F$6:$F$12</c:f>
              <c:numCache>
                <c:formatCode>#,##0</c:formatCode>
                <c:ptCount val="7"/>
                <c:pt idx="0">
                  <c:v>1688500</c:v>
                </c:pt>
                <c:pt idx="1">
                  <c:v>1444000</c:v>
                </c:pt>
                <c:pt idx="2">
                  <c:v>1027500</c:v>
                </c:pt>
                <c:pt idx="3">
                  <c:v>604300</c:v>
                </c:pt>
                <c:pt idx="4">
                  <c:v>1628000</c:v>
                </c:pt>
                <c:pt idx="5">
                  <c:v>1159500</c:v>
                </c:pt>
                <c:pt idx="6">
                  <c:v>1050000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5840-4068-A9C7-0B8A79210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Malgun Gothic"/>
                <a:ea typeface="Malgun Gothic"/>
                <a:cs typeface="Malgun Gothic"/>
              </a:defRPr>
            </a:pPr>
            <a:endParaRPr lang="ko-K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Malgun Gothic"/>
                <a:ea typeface="Malgun Gothic"/>
                <a:cs typeface="Malgun Gothic"/>
              </a:defRPr>
            </a:pPr>
            <a:endParaRPr lang="ko-KR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123825</xdr:rowOff>
    </xdr:to>
    <xdr:sp macro="" textlink="">
      <xdr:nvSpPr>
        <xdr:cNvPr id="2049" name="AutoShape 1" descr="사용자 첨부 파일">
          <a:extLst>
            <a:ext uri="{FF2B5EF4-FFF2-40B4-BE49-F238E27FC236}">
              <a16:creationId xmlns:a16="http://schemas.microsoft.com/office/drawing/2014/main" id="{D669F2D0-32BE-3DB4-273B-B4F8B6E3896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123825</xdr:rowOff>
    </xdr:to>
    <xdr:sp macro="" textlink="">
      <xdr:nvSpPr>
        <xdr:cNvPr id="2050" name="AutoShape 2" descr="사용자 첨부 파일">
          <a:extLst>
            <a:ext uri="{FF2B5EF4-FFF2-40B4-BE49-F238E27FC236}">
              <a16:creationId xmlns:a16="http://schemas.microsoft.com/office/drawing/2014/main" id="{D42E70B1-E5B5-1185-2110-5379C248452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9</xdr:col>
      <xdr:colOff>58019</xdr:colOff>
      <xdr:row>6</xdr:row>
      <xdr:rowOff>85863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3F7777F-0D37-F2CE-007A-4305E36C7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6230219" cy="9907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6</xdr:col>
      <xdr:colOff>152996</xdr:colOff>
      <xdr:row>29</xdr:row>
      <xdr:rowOff>114872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514473B-86EE-C2B6-E6DE-F81C89BD2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66825"/>
          <a:ext cx="4267796" cy="409632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rmSalesTable" displayName="FarmSalesTable" ref="A4:L31" totalsRowShown="0">
  <autoFilter ref="A4:L31" xr:uid="{00000000-0009-0000-0100-000001000000}"/>
  <tableColumns count="12">
    <tableColumn id="1" xr3:uid="{00000000-0010-0000-0000-000001000000}" name="판매일"/>
    <tableColumn id="2" xr3:uid="{00000000-0010-0000-0000-000002000000}" name="품목"/>
    <tableColumn id="3" xr3:uid="{00000000-0010-0000-0000-000003000000}" name="등급"/>
    <tableColumn id="4" xr3:uid="{00000000-0010-0000-0000-000004000000}" name="수량(kg)"/>
    <tableColumn id="5" xr3:uid="{00000000-0010-0000-0000-000005000000}" name="단가(원/kg)"/>
    <tableColumn id="6" xr3:uid="{00000000-0010-0000-0000-000006000000}" name="판매금액"/>
    <tableColumn id="7" xr3:uid="{00000000-0010-0000-0000-000007000000}" name="판매처"/>
    <tableColumn id="8" xr3:uid="{00000000-0010-0000-0000-000008000000}" name="수금액"/>
    <tableColumn id="9" xr3:uid="{00000000-0010-0000-0000-000009000000}" name="미수금"/>
    <tableColumn id="10" xr3:uid="{00000000-0010-0000-0000-00000A000000}" name="결제상태"/>
    <tableColumn id="11" xr3:uid="{00000000-0010-0000-0000-00000B000000}" name="결제수단"/>
    <tableColumn id="12" xr3:uid="{00000000-0010-0000-0000-00000C000000}" name="비고"/>
  </tableColumns>
  <tableStyleInfo name="TableStyleMedium4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48235"/>
  </sheetPr>
  <dimension ref="A2:Q17"/>
  <sheetViews>
    <sheetView showGridLines="0" workbookViewId="0"/>
  </sheetViews>
  <sheetFormatPr defaultRowHeight="14.25"/>
  <cols>
    <col min="1" max="1" width="18" customWidth="1"/>
    <col min="2" max="2" width="15" customWidth="1"/>
    <col min="3" max="3" width="3" customWidth="1"/>
    <col min="4" max="4" width="13" customWidth="1"/>
    <col min="5" max="5" width="14" customWidth="1"/>
    <col min="6" max="6" width="15" customWidth="1"/>
    <col min="7" max="7" width="13" customWidth="1"/>
    <col min="8" max="8" width="11" customWidth="1"/>
    <col min="9" max="9" width="13" customWidth="1"/>
    <col min="10" max="10" width="3" customWidth="1"/>
    <col min="11" max="17" width="11" customWidth="1"/>
  </cols>
  <sheetData>
    <row r="2" spans="1:17" ht="2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5" spans="1:17" ht="24" customHeight="1">
      <c r="A5" s="31" t="s">
        <v>2</v>
      </c>
      <c r="B5" s="31" t="s">
        <v>3</v>
      </c>
      <c r="C5" s="32"/>
      <c r="D5" s="4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6" t="s">
        <v>9</v>
      </c>
      <c r="J5" s="32"/>
      <c r="K5" s="32"/>
      <c r="L5" s="32"/>
      <c r="M5" s="32"/>
      <c r="N5" s="32"/>
      <c r="O5" s="32"/>
      <c r="P5" s="32"/>
      <c r="Q5" s="32"/>
    </row>
    <row r="6" spans="1:17" ht="24" customHeight="1">
      <c r="A6" s="33" t="s">
        <v>10</v>
      </c>
      <c r="B6" s="34">
        <f>SUM(판매기록!$D$5:$D$104)</f>
        <v>2313</v>
      </c>
      <c r="C6" s="32"/>
      <c r="D6" s="8" t="s">
        <v>11</v>
      </c>
      <c r="E6" s="35">
        <f>SUMIFS(판매기록!$D$5:$D$104,판매기록!$B$5:$B$104,D6)</f>
        <v>430</v>
      </c>
      <c r="F6" s="36">
        <f>SUMIFS(판매기록!$F$5:$F$104,판매기록!$B$5:$B$104,D6)</f>
        <v>1688500</v>
      </c>
      <c r="G6" s="37">
        <f t="shared" ref="G6:G12" si="0">IF($B$7=0,0,F6/$B$7)</f>
        <v>0.19629612406705574</v>
      </c>
      <c r="H6" s="38">
        <f>COUNTIFS(판매기록!$B$5:$B$104,D6,판매기록!$F$5:$F$104,"&gt;0")</f>
        <v>4</v>
      </c>
      <c r="I6" s="36">
        <f t="shared" ref="I6:I12" si="1">IF(E6=0,0,F6/E6)</f>
        <v>3926.7441860465115</v>
      </c>
      <c r="J6" s="32"/>
      <c r="K6" s="32"/>
      <c r="L6" s="32"/>
      <c r="M6" s="32"/>
      <c r="N6" s="32"/>
      <c r="O6" s="32"/>
      <c r="P6" s="32"/>
      <c r="Q6" s="32"/>
    </row>
    <row r="7" spans="1:17" ht="24" customHeight="1">
      <c r="A7" s="33" t="s">
        <v>12</v>
      </c>
      <c r="B7" s="39">
        <f>SUM(판매기록!$F$5:$F$104)</f>
        <v>8601800</v>
      </c>
      <c r="C7" s="32"/>
      <c r="D7" s="10" t="s">
        <v>13</v>
      </c>
      <c r="E7" s="40">
        <f>SUMIFS(판매기록!$D$5:$D$104,판매기록!$B$5:$B$104,D7)</f>
        <v>125</v>
      </c>
      <c r="F7" s="41">
        <f>SUMIFS(판매기록!$F$5:$F$104,판매기록!$B$5:$B$104,D7)</f>
        <v>1444000</v>
      </c>
      <c r="G7" s="42">
        <f t="shared" si="0"/>
        <v>0.16787184077751169</v>
      </c>
      <c r="H7" s="43">
        <f>COUNTIFS(판매기록!$B$5:$B$104,D7,판매기록!$F$5:$F$104,"&gt;0")</f>
        <v>4</v>
      </c>
      <c r="I7" s="41">
        <f t="shared" si="1"/>
        <v>11552</v>
      </c>
      <c r="J7" s="32"/>
      <c r="K7" s="32"/>
      <c r="L7" s="32"/>
      <c r="M7" s="32"/>
      <c r="N7" s="32"/>
      <c r="O7" s="32"/>
      <c r="P7" s="32"/>
      <c r="Q7" s="32"/>
    </row>
    <row r="8" spans="1:17" ht="24" customHeight="1">
      <c r="A8" s="33" t="s">
        <v>14</v>
      </c>
      <c r="B8" s="39">
        <f>SUM(판매기록!$H$5:$H$104)</f>
        <v>8243800</v>
      </c>
      <c r="C8" s="32"/>
      <c r="D8" s="10" t="s">
        <v>15</v>
      </c>
      <c r="E8" s="40">
        <f>SUMIFS(판매기록!$D$5:$D$104,판매기록!$B$5:$B$104,D8)</f>
        <v>373</v>
      </c>
      <c r="F8" s="41">
        <f>SUMIFS(판매기록!$F$5:$F$104,판매기록!$B$5:$B$104,D8)</f>
        <v>1027500</v>
      </c>
      <c r="G8" s="42">
        <f t="shared" si="0"/>
        <v>0.11945174265851334</v>
      </c>
      <c r="H8" s="43">
        <f>COUNTIFS(판매기록!$B$5:$B$104,D8,판매기록!$F$5:$F$104,"&gt;0")</f>
        <v>4</v>
      </c>
      <c r="I8" s="41">
        <f t="shared" si="1"/>
        <v>2754.6916890080429</v>
      </c>
      <c r="J8" s="32"/>
      <c r="K8" s="32"/>
      <c r="L8" s="32"/>
      <c r="M8" s="32"/>
      <c r="N8" s="32"/>
      <c r="O8" s="32"/>
      <c r="P8" s="32"/>
      <c r="Q8" s="32"/>
    </row>
    <row r="9" spans="1:17" ht="24" customHeight="1">
      <c r="A9" s="33" t="s">
        <v>16</v>
      </c>
      <c r="B9" s="39">
        <f>SUM(판매기록!$I$5:$I$104)</f>
        <v>358000</v>
      </c>
      <c r="C9" s="32"/>
      <c r="D9" s="10" t="s">
        <v>17</v>
      </c>
      <c r="E9" s="40">
        <f>SUMIFS(판매기록!$D$5:$D$104,판매기록!$B$5:$B$104,D9)</f>
        <v>175</v>
      </c>
      <c r="F9" s="41">
        <f>SUMIFS(판매기록!$F$5:$F$104,판매기록!$B$5:$B$104,D9)</f>
        <v>604300</v>
      </c>
      <c r="G9" s="42">
        <f t="shared" si="0"/>
        <v>7.025273779906531E-2</v>
      </c>
      <c r="H9" s="43">
        <f>COUNTIFS(판매기록!$B$5:$B$104,D9,판매기록!$F$5:$F$104,"&gt;0")</f>
        <v>4</v>
      </c>
      <c r="I9" s="41">
        <f t="shared" si="1"/>
        <v>3453.1428571428573</v>
      </c>
      <c r="J9" s="32"/>
      <c r="K9" s="32"/>
      <c r="L9" s="32"/>
      <c r="M9" s="32"/>
      <c r="N9" s="32"/>
      <c r="O9" s="32"/>
      <c r="P9" s="32"/>
      <c r="Q9" s="32"/>
    </row>
    <row r="10" spans="1:17" ht="24" customHeight="1">
      <c r="A10" s="33" t="s">
        <v>18</v>
      </c>
      <c r="B10" s="39">
        <f>IF(COUNTIFS(판매기록!$F$5:$F$104,"&gt;0")=0,0,B7/COUNTIFS(판매기록!$F$5:$F$104,"&gt;0"))</f>
        <v>318585.18518518517</v>
      </c>
      <c r="C10" s="32"/>
      <c r="D10" s="10" t="s">
        <v>19</v>
      </c>
      <c r="E10" s="40">
        <f>SUMIFS(판매기록!$D$5:$D$104,판매기록!$B$5:$B$104,D10)</f>
        <v>250</v>
      </c>
      <c r="F10" s="41">
        <f>SUMIFS(판매기록!$F$5:$F$104,판매기록!$B$5:$B$104,D10)</f>
        <v>1628000</v>
      </c>
      <c r="G10" s="42">
        <f t="shared" si="0"/>
        <v>0.18926271245553256</v>
      </c>
      <c r="H10" s="43">
        <f>COUNTIFS(판매기록!$B$5:$B$104,D10,판매기록!$F$5:$F$104,"&gt;0")</f>
        <v>4</v>
      </c>
      <c r="I10" s="41">
        <f t="shared" si="1"/>
        <v>6512</v>
      </c>
      <c r="J10" s="32"/>
      <c r="K10" s="32"/>
      <c r="L10" s="32"/>
      <c r="M10" s="32"/>
      <c r="N10" s="32"/>
      <c r="O10" s="32"/>
      <c r="P10" s="32"/>
      <c r="Q10" s="32"/>
    </row>
    <row r="11" spans="1:17" ht="24" customHeight="1">
      <c r="A11" s="33" t="s">
        <v>20</v>
      </c>
      <c r="B11" s="39">
        <f>MAX(판매기록!$F$5:$F$104)</f>
        <v>504000</v>
      </c>
      <c r="C11" s="32"/>
      <c r="D11" s="10" t="s">
        <v>21</v>
      </c>
      <c r="E11" s="40">
        <f>SUMIFS(판매기록!$D$5:$D$104,판매기록!$B$5:$B$104,D11)</f>
        <v>595</v>
      </c>
      <c r="F11" s="41">
        <f>SUMIFS(판매기록!$F$5:$F$104,판매기록!$B$5:$B$104,D11)</f>
        <v>1159500</v>
      </c>
      <c r="G11" s="42">
        <f t="shared" si="0"/>
        <v>0.13479736799274569</v>
      </c>
      <c r="H11" s="43">
        <f>COUNTIFS(판매기록!$B$5:$B$104,D11,판매기록!$F$5:$F$104,"&gt;0")</f>
        <v>4</v>
      </c>
      <c r="I11" s="41">
        <f t="shared" si="1"/>
        <v>1948.7394957983192</v>
      </c>
      <c r="J11" s="32"/>
      <c r="K11" s="32"/>
      <c r="L11" s="32"/>
      <c r="M11" s="32"/>
      <c r="N11" s="32"/>
      <c r="O11" s="32"/>
      <c r="P11" s="32"/>
      <c r="Q11" s="32"/>
    </row>
    <row r="12" spans="1:17" ht="24" customHeight="1">
      <c r="A12" s="44" t="s">
        <v>22</v>
      </c>
      <c r="B12" s="45">
        <f>IF(COUNTIFS(판매기록!$F$5:$F$104,"&gt;0")=0,0,COUNTIFS(판매기록!$J$5:$J$104,"완료")/COUNTIFS(판매기록!$F$5:$F$104,"&gt;0"))</f>
        <v>0.81481481481481477</v>
      </c>
      <c r="C12" s="32"/>
      <c r="D12" s="12" t="s">
        <v>23</v>
      </c>
      <c r="E12" s="46">
        <f>SUMIFS(판매기록!$D$5:$D$104,판매기록!$B$5:$B$104,D12)</f>
        <v>365</v>
      </c>
      <c r="F12" s="47">
        <f>SUMIFS(판매기록!$F$5:$F$104,판매기록!$B$5:$B$104,D12)</f>
        <v>1050000</v>
      </c>
      <c r="G12" s="48">
        <f t="shared" si="0"/>
        <v>0.12206747424957567</v>
      </c>
      <c r="H12" s="49">
        <f>COUNTIFS(판매기록!$B$5:$B$104,D12,판매기록!$F$5:$F$104,"&gt;0")</f>
        <v>3</v>
      </c>
      <c r="I12" s="47">
        <f t="shared" si="1"/>
        <v>2876.7123287671234</v>
      </c>
      <c r="J12" s="32"/>
      <c r="K12" s="32"/>
      <c r="L12" s="32"/>
      <c r="M12" s="32"/>
      <c r="N12" s="32"/>
      <c r="O12" s="32"/>
      <c r="P12" s="32"/>
      <c r="Q12" s="32"/>
    </row>
    <row r="13" spans="1:17" ht="24" customHeight="1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</row>
    <row r="14" spans="1:17" ht="24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</row>
    <row r="15" spans="1:17" ht="24" customHeight="1">
      <c r="A15" s="50" t="s">
        <v>24</v>
      </c>
      <c r="B15" s="51" t="s">
        <v>25</v>
      </c>
      <c r="C15" s="51" t="s">
        <v>26</v>
      </c>
      <c r="D15" s="51" t="s">
        <v>27</v>
      </c>
      <c r="E15" s="51" t="s">
        <v>28</v>
      </c>
      <c r="F15" s="51" t="s">
        <v>29</v>
      </c>
      <c r="G15" s="51" t="s">
        <v>30</v>
      </c>
      <c r="H15" s="51" t="s">
        <v>31</v>
      </c>
      <c r="I15" s="52" t="s">
        <v>9</v>
      </c>
      <c r="J15" s="32"/>
      <c r="K15" s="32"/>
      <c r="L15" s="32"/>
      <c r="M15" s="32"/>
      <c r="N15" s="32"/>
      <c r="O15" s="32"/>
      <c r="P15" s="32"/>
      <c r="Q15" s="32"/>
    </row>
    <row r="16" spans="1:17" ht="24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</row>
    <row r="17" spans="1:17" ht="24" customHeigh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</row>
  </sheetData>
  <phoneticPr fontId="7" type="noConversion"/>
  <conditionalFormatting sqref="B9">
    <cfRule type="cellIs" dxfId="2" priority="1" operator="greater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9D18E"/>
  </sheetPr>
  <dimension ref="A2:L37"/>
  <sheetViews>
    <sheetView showGridLines="0" workbookViewId="0">
      <pane ySplit="4" topLeftCell="A5" activePane="bottomLeft" state="frozen"/>
      <selection pane="bottomLeft"/>
    </sheetView>
  </sheetViews>
  <sheetFormatPr defaultRowHeight="14.25"/>
  <cols>
    <col min="1" max="2" width="12" customWidth="1"/>
    <col min="3" max="3" width="9" customWidth="1"/>
    <col min="4" max="5" width="13" customWidth="1"/>
    <col min="6" max="6" width="14" customWidth="1"/>
    <col min="7" max="7" width="17" customWidth="1"/>
    <col min="8" max="9" width="14" customWidth="1"/>
    <col min="10" max="11" width="12" customWidth="1"/>
    <col min="12" max="12" width="16" customWidth="1"/>
  </cols>
  <sheetData>
    <row r="2" spans="1:12" ht="24">
      <c r="A2" s="2" t="s">
        <v>32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5">
      <c r="A3" s="3" t="s">
        <v>33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26.1" customHeight="1">
      <c r="A4" s="4" t="s">
        <v>34</v>
      </c>
      <c r="B4" s="5" t="s">
        <v>4</v>
      </c>
      <c r="C4" s="5" t="s">
        <v>35</v>
      </c>
      <c r="D4" s="5" t="s">
        <v>36</v>
      </c>
      <c r="E4" s="5" t="s">
        <v>37</v>
      </c>
      <c r="F4" s="5" t="s">
        <v>38</v>
      </c>
      <c r="G4" s="5" t="s">
        <v>39</v>
      </c>
      <c r="H4" s="5" t="s">
        <v>14</v>
      </c>
      <c r="I4" s="5" t="s">
        <v>16</v>
      </c>
      <c r="J4" s="5" t="s">
        <v>40</v>
      </c>
      <c r="K4" s="5" t="s">
        <v>41</v>
      </c>
      <c r="L4" s="6" t="s">
        <v>42</v>
      </c>
    </row>
    <row r="5" spans="1:12" ht="21.95" customHeight="1">
      <c r="A5" s="22">
        <v>46266</v>
      </c>
      <c r="B5" s="23" t="s">
        <v>11</v>
      </c>
      <c r="C5" s="23" t="s">
        <v>43</v>
      </c>
      <c r="D5" s="13">
        <v>120</v>
      </c>
      <c r="E5" s="14">
        <v>4200</v>
      </c>
      <c r="F5" s="15">
        <f t="shared" ref="F5:F37" si="0">IF(OR(D5="",E5=""),"",D5*E5)</f>
        <v>504000</v>
      </c>
      <c r="G5" s="14" t="s">
        <v>44</v>
      </c>
      <c r="H5" s="14">
        <v>504000</v>
      </c>
      <c r="I5" s="15">
        <f t="shared" ref="I5:I37" si="1">IF(F5="","",F5-H5)</f>
        <v>0</v>
      </c>
      <c r="J5" s="28" t="str">
        <f t="shared" ref="J5:J37" si="2">IF(F5="","",IF(I5&lt;=0,"완료","미수"))</f>
        <v>완료</v>
      </c>
      <c r="K5" s="23" t="s">
        <v>45</v>
      </c>
      <c r="L5" s="7"/>
    </row>
    <row r="6" spans="1:12" ht="21.95" customHeight="1">
      <c r="A6" s="24">
        <v>46267</v>
      </c>
      <c r="B6" s="25" t="s">
        <v>17</v>
      </c>
      <c r="C6" s="25" t="s">
        <v>46</v>
      </c>
      <c r="D6" s="16">
        <v>45</v>
      </c>
      <c r="E6" s="17">
        <v>3500</v>
      </c>
      <c r="F6" s="18">
        <f t="shared" si="0"/>
        <v>157500</v>
      </c>
      <c r="G6" s="17" t="s">
        <v>47</v>
      </c>
      <c r="H6" s="17">
        <v>157500</v>
      </c>
      <c r="I6" s="18">
        <f t="shared" si="1"/>
        <v>0</v>
      </c>
      <c r="J6" s="29" t="str">
        <f t="shared" si="2"/>
        <v>완료</v>
      </c>
      <c r="K6" s="25" t="s">
        <v>48</v>
      </c>
      <c r="L6" s="9"/>
    </row>
    <row r="7" spans="1:12" ht="21.95" customHeight="1">
      <c r="A7" s="24">
        <v>46268</v>
      </c>
      <c r="B7" s="25" t="s">
        <v>15</v>
      </c>
      <c r="C7" s="25" t="s">
        <v>46</v>
      </c>
      <c r="D7" s="16">
        <v>80</v>
      </c>
      <c r="E7" s="17">
        <v>2800</v>
      </c>
      <c r="F7" s="18">
        <f t="shared" si="0"/>
        <v>224000</v>
      </c>
      <c r="G7" s="17" t="s">
        <v>49</v>
      </c>
      <c r="H7" s="17">
        <v>224000</v>
      </c>
      <c r="I7" s="18">
        <f t="shared" si="1"/>
        <v>0</v>
      </c>
      <c r="J7" s="29" t="str">
        <f t="shared" si="2"/>
        <v>완료</v>
      </c>
      <c r="K7" s="25" t="s">
        <v>45</v>
      </c>
      <c r="L7" s="9"/>
    </row>
    <row r="8" spans="1:12" ht="21.95" customHeight="1">
      <c r="A8" s="24">
        <v>46269</v>
      </c>
      <c r="B8" s="25" t="s">
        <v>13</v>
      </c>
      <c r="C8" s="25" t="s">
        <v>43</v>
      </c>
      <c r="D8" s="16">
        <v>35</v>
      </c>
      <c r="E8" s="17">
        <v>12000</v>
      </c>
      <c r="F8" s="18">
        <f t="shared" si="0"/>
        <v>420000</v>
      </c>
      <c r="G8" s="17" t="s">
        <v>50</v>
      </c>
      <c r="H8" s="17">
        <v>420000</v>
      </c>
      <c r="I8" s="18">
        <f t="shared" si="1"/>
        <v>0</v>
      </c>
      <c r="J8" s="29" t="str">
        <f t="shared" si="2"/>
        <v>완료</v>
      </c>
      <c r="K8" s="25" t="s">
        <v>51</v>
      </c>
      <c r="L8" s="9" t="s">
        <v>52</v>
      </c>
    </row>
    <row r="9" spans="1:12" ht="21.95" customHeight="1">
      <c r="A9" s="24">
        <v>46270</v>
      </c>
      <c r="B9" s="25" t="s">
        <v>21</v>
      </c>
      <c r="C9" s="25" t="s">
        <v>53</v>
      </c>
      <c r="D9" s="16">
        <v>150</v>
      </c>
      <c r="E9" s="17">
        <v>1800</v>
      </c>
      <c r="F9" s="18">
        <f t="shared" si="0"/>
        <v>270000</v>
      </c>
      <c r="G9" s="17" t="s">
        <v>44</v>
      </c>
      <c r="H9" s="17">
        <v>200000</v>
      </c>
      <c r="I9" s="18">
        <f t="shared" si="1"/>
        <v>70000</v>
      </c>
      <c r="J9" s="29" t="str">
        <f t="shared" si="2"/>
        <v>미수</v>
      </c>
      <c r="K9" s="25" t="s">
        <v>45</v>
      </c>
      <c r="L9" s="9" t="s">
        <v>54</v>
      </c>
    </row>
    <row r="10" spans="1:12" ht="21.95" customHeight="1">
      <c r="A10" s="24">
        <v>46271</v>
      </c>
      <c r="B10" s="25" t="s">
        <v>19</v>
      </c>
      <c r="C10" s="25" t="s">
        <v>46</v>
      </c>
      <c r="D10" s="16">
        <v>60</v>
      </c>
      <c r="E10" s="17">
        <v>6200</v>
      </c>
      <c r="F10" s="18">
        <f t="shared" si="0"/>
        <v>372000</v>
      </c>
      <c r="G10" s="17" t="s">
        <v>47</v>
      </c>
      <c r="H10" s="17">
        <v>372000</v>
      </c>
      <c r="I10" s="18">
        <f t="shared" si="1"/>
        <v>0</v>
      </c>
      <c r="J10" s="29" t="str">
        <f t="shared" si="2"/>
        <v>완료</v>
      </c>
      <c r="K10" s="25" t="s">
        <v>45</v>
      </c>
      <c r="L10" s="9"/>
    </row>
    <row r="11" spans="1:12" ht="21.95" customHeight="1">
      <c r="A11" s="24">
        <v>46272</v>
      </c>
      <c r="B11" s="25" t="s">
        <v>23</v>
      </c>
      <c r="C11" s="25" t="s">
        <v>46</v>
      </c>
      <c r="D11" s="16">
        <v>100</v>
      </c>
      <c r="E11" s="17">
        <v>3000</v>
      </c>
      <c r="F11" s="18">
        <f t="shared" si="0"/>
        <v>300000</v>
      </c>
      <c r="G11" s="17" t="s">
        <v>55</v>
      </c>
      <c r="H11" s="17">
        <v>300000</v>
      </c>
      <c r="I11" s="18">
        <f t="shared" si="1"/>
        <v>0</v>
      </c>
      <c r="J11" s="29" t="str">
        <f t="shared" si="2"/>
        <v>완료</v>
      </c>
      <c r="K11" s="25" t="s">
        <v>48</v>
      </c>
      <c r="L11" s="9"/>
    </row>
    <row r="12" spans="1:12" ht="21.95" customHeight="1">
      <c r="A12" s="24">
        <v>46274</v>
      </c>
      <c r="B12" s="25" t="s">
        <v>11</v>
      </c>
      <c r="C12" s="25" t="s">
        <v>46</v>
      </c>
      <c r="D12" s="16">
        <v>90</v>
      </c>
      <c r="E12" s="17">
        <v>3800</v>
      </c>
      <c r="F12" s="18">
        <f t="shared" si="0"/>
        <v>342000</v>
      </c>
      <c r="G12" s="17" t="s">
        <v>49</v>
      </c>
      <c r="H12" s="17">
        <v>342000</v>
      </c>
      <c r="I12" s="18">
        <f t="shared" si="1"/>
        <v>0</v>
      </c>
      <c r="J12" s="29" t="str">
        <f t="shared" si="2"/>
        <v>완료</v>
      </c>
      <c r="K12" s="25" t="s">
        <v>45</v>
      </c>
      <c r="L12" s="9"/>
    </row>
    <row r="13" spans="1:12" ht="21.95" customHeight="1">
      <c r="A13" s="24">
        <v>46275</v>
      </c>
      <c r="B13" s="25" t="s">
        <v>17</v>
      </c>
      <c r="C13" s="25" t="s">
        <v>46</v>
      </c>
      <c r="D13" s="16">
        <v>38</v>
      </c>
      <c r="E13" s="17">
        <v>3700</v>
      </c>
      <c r="F13" s="18">
        <f t="shared" si="0"/>
        <v>140600</v>
      </c>
      <c r="G13" s="17" t="s">
        <v>44</v>
      </c>
      <c r="H13" s="17">
        <v>140600</v>
      </c>
      <c r="I13" s="18">
        <f t="shared" si="1"/>
        <v>0</v>
      </c>
      <c r="J13" s="29" t="str">
        <f t="shared" si="2"/>
        <v>완료</v>
      </c>
      <c r="K13" s="25" t="s">
        <v>51</v>
      </c>
      <c r="L13" s="9"/>
    </row>
    <row r="14" spans="1:12" ht="21.95" customHeight="1">
      <c r="A14" s="24">
        <v>46276</v>
      </c>
      <c r="B14" s="25" t="s">
        <v>15</v>
      </c>
      <c r="C14" s="25" t="s">
        <v>53</v>
      </c>
      <c r="D14" s="16">
        <v>110</v>
      </c>
      <c r="E14" s="17">
        <v>2400</v>
      </c>
      <c r="F14" s="18">
        <f t="shared" si="0"/>
        <v>264000</v>
      </c>
      <c r="G14" s="17" t="s">
        <v>55</v>
      </c>
      <c r="H14" s="17">
        <v>264000</v>
      </c>
      <c r="I14" s="18">
        <f t="shared" si="1"/>
        <v>0</v>
      </c>
      <c r="J14" s="29" t="str">
        <f t="shared" si="2"/>
        <v>완료</v>
      </c>
      <c r="K14" s="25" t="s">
        <v>48</v>
      </c>
      <c r="L14" s="9"/>
    </row>
    <row r="15" spans="1:12" ht="21.95" customHeight="1">
      <c r="A15" s="24">
        <v>46277</v>
      </c>
      <c r="B15" s="25" t="s">
        <v>13</v>
      </c>
      <c r="C15" s="25" t="s">
        <v>46</v>
      </c>
      <c r="D15" s="16">
        <v>28</v>
      </c>
      <c r="E15" s="17">
        <v>10500</v>
      </c>
      <c r="F15" s="18">
        <f t="shared" si="0"/>
        <v>294000</v>
      </c>
      <c r="G15" s="17" t="s">
        <v>50</v>
      </c>
      <c r="H15" s="17">
        <v>294000</v>
      </c>
      <c r="I15" s="18">
        <f t="shared" si="1"/>
        <v>0</v>
      </c>
      <c r="J15" s="29" t="str">
        <f t="shared" si="2"/>
        <v>완료</v>
      </c>
      <c r="K15" s="25" t="s">
        <v>51</v>
      </c>
      <c r="L15" s="9" t="s">
        <v>52</v>
      </c>
    </row>
    <row r="16" spans="1:12" ht="21.95" customHeight="1">
      <c r="A16" s="24">
        <v>46278</v>
      </c>
      <c r="B16" s="25" t="s">
        <v>21</v>
      </c>
      <c r="C16" s="25" t="s">
        <v>46</v>
      </c>
      <c r="D16" s="16">
        <v>130</v>
      </c>
      <c r="E16" s="17">
        <v>2100</v>
      </c>
      <c r="F16" s="18">
        <f t="shared" si="0"/>
        <v>273000</v>
      </c>
      <c r="G16" s="17" t="s">
        <v>47</v>
      </c>
      <c r="H16" s="17">
        <v>273000</v>
      </c>
      <c r="I16" s="18">
        <f t="shared" si="1"/>
        <v>0</v>
      </c>
      <c r="J16" s="29" t="str">
        <f t="shared" si="2"/>
        <v>완료</v>
      </c>
      <c r="K16" s="25" t="s">
        <v>45</v>
      </c>
      <c r="L16" s="9"/>
    </row>
    <row r="17" spans="1:12" ht="21.95" customHeight="1">
      <c r="A17" s="24">
        <v>46279</v>
      </c>
      <c r="B17" s="25" t="s">
        <v>19</v>
      </c>
      <c r="C17" s="25" t="s">
        <v>43</v>
      </c>
      <c r="D17" s="16">
        <v>55</v>
      </c>
      <c r="E17" s="17">
        <v>6800</v>
      </c>
      <c r="F17" s="18">
        <f t="shared" si="0"/>
        <v>374000</v>
      </c>
      <c r="G17" s="17" t="s">
        <v>44</v>
      </c>
      <c r="H17" s="17">
        <v>300000</v>
      </c>
      <c r="I17" s="18">
        <f t="shared" si="1"/>
        <v>74000</v>
      </c>
      <c r="J17" s="29" t="str">
        <f t="shared" si="2"/>
        <v>미수</v>
      </c>
      <c r="K17" s="25" t="s">
        <v>45</v>
      </c>
      <c r="L17" s="9" t="s">
        <v>54</v>
      </c>
    </row>
    <row r="18" spans="1:12" ht="21.95" customHeight="1">
      <c r="A18" s="24">
        <v>46280</v>
      </c>
      <c r="B18" s="25" t="s">
        <v>23</v>
      </c>
      <c r="C18" s="25" t="s">
        <v>53</v>
      </c>
      <c r="D18" s="16">
        <v>140</v>
      </c>
      <c r="E18" s="17">
        <v>2500</v>
      </c>
      <c r="F18" s="18">
        <f t="shared" si="0"/>
        <v>350000</v>
      </c>
      <c r="G18" s="17" t="s">
        <v>49</v>
      </c>
      <c r="H18" s="17">
        <v>350000</v>
      </c>
      <c r="I18" s="18">
        <f t="shared" si="1"/>
        <v>0</v>
      </c>
      <c r="J18" s="29" t="str">
        <f t="shared" si="2"/>
        <v>완료</v>
      </c>
      <c r="K18" s="25" t="s">
        <v>45</v>
      </c>
      <c r="L18" s="9"/>
    </row>
    <row r="19" spans="1:12" ht="21.95" customHeight="1">
      <c r="A19" s="24">
        <v>46282</v>
      </c>
      <c r="B19" s="25" t="s">
        <v>11</v>
      </c>
      <c r="C19" s="25" t="s">
        <v>43</v>
      </c>
      <c r="D19" s="16">
        <v>105</v>
      </c>
      <c r="E19" s="17">
        <v>4300</v>
      </c>
      <c r="F19" s="18">
        <f t="shared" si="0"/>
        <v>451500</v>
      </c>
      <c r="G19" s="17" t="s">
        <v>50</v>
      </c>
      <c r="H19" s="17">
        <v>451500</v>
      </c>
      <c r="I19" s="18">
        <f t="shared" si="1"/>
        <v>0</v>
      </c>
      <c r="J19" s="29" t="str">
        <f t="shared" si="2"/>
        <v>완료</v>
      </c>
      <c r="K19" s="25" t="s">
        <v>51</v>
      </c>
      <c r="L19" s="9"/>
    </row>
    <row r="20" spans="1:12" ht="21.95" customHeight="1">
      <c r="A20" s="24">
        <v>46283</v>
      </c>
      <c r="B20" s="25" t="s">
        <v>17</v>
      </c>
      <c r="C20" s="25" t="s">
        <v>53</v>
      </c>
      <c r="D20" s="16">
        <v>50</v>
      </c>
      <c r="E20" s="17">
        <v>3100</v>
      </c>
      <c r="F20" s="18">
        <f t="shared" si="0"/>
        <v>155000</v>
      </c>
      <c r="G20" s="17" t="s">
        <v>55</v>
      </c>
      <c r="H20" s="17">
        <v>155000</v>
      </c>
      <c r="I20" s="18">
        <f t="shared" si="1"/>
        <v>0</v>
      </c>
      <c r="J20" s="29" t="str">
        <f t="shared" si="2"/>
        <v>완료</v>
      </c>
      <c r="K20" s="25" t="s">
        <v>48</v>
      </c>
      <c r="L20" s="9"/>
    </row>
    <row r="21" spans="1:12" ht="21.95" customHeight="1">
      <c r="A21" s="24">
        <v>46284</v>
      </c>
      <c r="B21" s="25" t="s">
        <v>15</v>
      </c>
      <c r="C21" s="25" t="s">
        <v>46</v>
      </c>
      <c r="D21" s="16">
        <v>95</v>
      </c>
      <c r="E21" s="17">
        <v>2900</v>
      </c>
      <c r="F21" s="18">
        <f t="shared" si="0"/>
        <v>275500</v>
      </c>
      <c r="G21" s="17" t="s">
        <v>44</v>
      </c>
      <c r="H21" s="17">
        <v>275500</v>
      </c>
      <c r="I21" s="18">
        <f t="shared" si="1"/>
        <v>0</v>
      </c>
      <c r="J21" s="29" t="str">
        <f t="shared" si="2"/>
        <v>완료</v>
      </c>
      <c r="K21" s="25" t="s">
        <v>45</v>
      </c>
      <c r="L21" s="9"/>
    </row>
    <row r="22" spans="1:12" ht="21.95" customHeight="1">
      <c r="A22" s="24">
        <v>46285</v>
      </c>
      <c r="B22" s="25" t="s">
        <v>13</v>
      </c>
      <c r="C22" s="25" t="s">
        <v>43</v>
      </c>
      <c r="D22" s="16">
        <v>32</v>
      </c>
      <c r="E22" s="17">
        <v>12500</v>
      </c>
      <c r="F22" s="18">
        <f t="shared" si="0"/>
        <v>400000</v>
      </c>
      <c r="G22" s="17" t="s">
        <v>50</v>
      </c>
      <c r="H22" s="17">
        <v>300000</v>
      </c>
      <c r="I22" s="18">
        <f t="shared" si="1"/>
        <v>100000</v>
      </c>
      <c r="J22" s="29" t="str">
        <f t="shared" si="2"/>
        <v>미수</v>
      </c>
      <c r="K22" s="25" t="s">
        <v>51</v>
      </c>
      <c r="L22" s="9" t="s">
        <v>54</v>
      </c>
    </row>
    <row r="23" spans="1:12" ht="21.95" customHeight="1">
      <c r="A23" s="24">
        <v>46286</v>
      </c>
      <c r="B23" s="25" t="s">
        <v>21</v>
      </c>
      <c r="C23" s="25" t="s">
        <v>53</v>
      </c>
      <c r="D23" s="16">
        <v>170</v>
      </c>
      <c r="E23" s="17">
        <v>1750</v>
      </c>
      <c r="F23" s="18">
        <f t="shared" si="0"/>
        <v>297500</v>
      </c>
      <c r="G23" s="17" t="s">
        <v>49</v>
      </c>
      <c r="H23" s="17">
        <v>297500</v>
      </c>
      <c r="I23" s="18">
        <f t="shared" si="1"/>
        <v>0</v>
      </c>
      <c r="J23" s="29" t="str">
        <f t="shared" si="2"/>
        <v>완료</v>
      </c>
      <c r="K23" s="25" t="s">
        <v>45</v>
      </c>
      <c r="L23" s="9"/>
    </row>
    <row r="24" spans="1:12" ht="21.95" customHeight="1">
      <c r="A24" s="24">
        <v>46287</v>
      </c>
      <c r="B24" s="25" t="s">
        <v>19</v>
      </c>
      <c r="C24" s="25" t="s">
        <v>46</v>
      </c>
      <c r="D24" s="16">
        <v>70</v>
      </c>
      <c r="E24" s="17">
        <v>6100</v>
      </c>
      <c r="F24" s="18">
        <f t="shared" si="0"/>
        <v>427000</v>
      </c>
      <c r="G24" s="17" t="s">
        <v>47</v>
      </c>
      <c r="H24" s="17">
        <v>427000</v>
      </c>
      <c r="I24" s="18">
        <f t="shared" si="1"/>
        <v>0</v>
      </c>
      <c r="J24" s="29" t="str">
        <f t="shared" si="2"/>
        <v>완료</v>
      </c>
      <c r="K24" s="25" t="s">
        <v>45</v>
      </c>
      <c r="L24" s="9"/>
    </row>
    <row r="25" spans="1:12" ht="21.95" customHeight="1">
      <c r="A25" s="24">
        <v>46288</v>
      </c>
      <c r="B25" s="25" t="s">
        <v>23</v>
      </c>
      <c r="C25" s="25" t="s">
        <v>46</v>
      </c>
      <c r="D25" s="16">
        <v>125</v>
      </c>
      <c r="E25" s="17">
        <v>3200</v>
      </c>
      <c r="F25" s="18">
        <f t="shared" si="0"/>
        <v>400000</v>
      </c>
      <c r="G25" s="17" t="s">
        <v>55</v>
      </c>
      <c r="H25" s="17">
        <v>350000</v>
      </c>
      <c r="I25" s="18">
        <f t="shared" si="1"/>
        <v>50000</v>
      </c>
      <c r="J25" s="29" t="str">
        <f t="shared" si="2"/>
        <v>미수</v>
      </c>
      <c r="K25" s="25" t="s">
        <v>48</v>
      </c>
      <c r="L25" s="9" t="s">
        <v>54</v>
      </c>
    </row>
    <row r="26" spans="1:12" ht="21.95" customHeight="1">
      <c r="A26" s="24">
        <v>46290</v>
      </c>
      <c r="B26" s="25" t="s">
        <v>11</v>
      </c>
      <c r="C26" s="25" t="s">
        <v>53</v>
      </c>
      <c r="D26" s="16">
        <v>115</v>
      </c>
      <c r="E26" s="17">
        <v>3400</v>
      </c>
      <c r="F26" s="18">
        <f t="shared" si="0"/>
        <v>391000</v>
      </c>
      <c r="G26" s="17" t="s">
        <v>49</v>
      </c>
      <c r="H26" s="17">
        <v>391000</v>
      </c>
      <c r="I26" s="18">
        <f t="shared" si="1"/>
        <v>0</v>
      </c>
      <c r="J26" s="29" t="str">
        <f t="shared" si="2"/>
        <v>완료</v>
      </c>
      <c r="K26" s="25" t="s">
        <v>45</v>
      </c>
      <c r="L26" s="9"/>
    </row>
    <row r="27" spans="1:12" ht="21.95" customHeight="1">
      <c r="A27" s="24">
        <v>46291</v>
      </c>
      <c r="B27" s="25" t="s">
        <v>17</v>
      </c>
      <c r="C27" s="25" t="s">
        <v>46</v>
      </c>
      <c r="D27" s="16">
        <v>42</v>
      </c>
      <c r="E27" s="17">
        <v>3600</v>
      </c>
      <c r="F27" s="18">
        <f t="shared" si="0"/>
        <v>151200</v>
      </c>
      <c r="G27" s="17" t="s">
        <v>44</v>
      </c>
      <c r="H27" s="17">
        <v>151200</v>
      </c>
      <c r="I27" s="18">
        <f t="shared" si="1"/>
        <v>0</v>
      </c>
      <c r="J27" s="29" t="str">
        <f t="shared" si="2"/>
        <v>완료</v>
      </c>
      <c r="K27" s="25" t="s">
        <v>51</v>
      </c>
      <c r="L27" s="9"/>
    </row>
    <row r="28" spans="1:12" ht="21.95" customHeight="1">
      <c r="A28" s="24">
        <v>46292</v>
      </c>
      <c r="B28" s="25" t="s">
        <v>15</v>
      </c>
      <c r="C28" s="25" t="s">
        <v>46</v>
      </c>
      <c r="D28" s="16">
        <v>88</v>
      </c>
      <c r="E28" s="17">
        <v>3000</v>
      </c>
      <c r="F28" s="18">
        <f t="shared" si="0"/>
        <v>264000</v>
      </c>
      <c r="G28" s="17" t="s">
        <v>47</v>
      </c>
      <c r="H28" s="17">
        <v>200000</v>
      </c>
      <c r="I28" s="18">
        <f t="shared" si="1"/>
        <v>64000</v>
      </c>
      <c r="J28" s="29" t="str">
        <f t="shared" si="2"/>
        <v>미수</v>
      </c>
      <c r="K28" s="25" t="s">
        <v>45</v>
      </c>
      <c r="L28" s="9" t="s">
        <v>54</v>
      </c>
    </row>
    <row r="29" spans="1:12" ht="21.95" customHeight="1">
      <c r="A29" s="24">
        <v>46293</v>
      </c>
      <c r="B29" s="25" t="s">
        <v>13</v>
      </c>
      <c r="C29" s="25" t="s">
        <v>46</v>
      </c>
      <c r="D29" s="16">
        <v>30</v>
      </c>
      <c r="E29" s="17">
        <v>11000</v>
      </c>
      <c r="F29" s="18">
        <f t="shared" si="0"/>
        <v>330000</v>
      </c>
      <c r="G29" s="17" t="s">
        <v>50</v>
      </c>
      <c r="H29" s="17">
        <v>330000</v>
      </c>
      <c r="I29" s="18">
        <f t="shared" si="1"/>
        <v>0</v>
      </c>
      <c r="J29" s="29" t="str">
        <f t="shared" si="2"/>
        <v>완료</v>
      </c>
      <c r="K29" s="25" t="s">
        <v>51</v>
      </c>
      <c r="L29" s="9" t="s">
        <v>52</v>
      </c>
    </row>
    <row r="30" spans="1:12" ht="21.95" customHeight="1">
      <c r="A30" s="24">
        <v>46294</v>
      </c>
      <c r="B30" s="25" t="s">
        <v>21</v>
      </c>
      <c r="C30" s="25" t="s">
        <v>46</v>
      </c>
      <c r="D30" s="16">
        <v>145</v>
      </c>
      <c r="E30" s="17">
        <v>2200</v>
      </c>
      <c r="F30" s="18">
        <f t="shared" si="0"/>
        <v>319000</v>
      </c>
      <c r="G30" s="17" t="s">
        <v>55</v>
      </c>
      <c r="H30" s="17">
        <v>319000</v>
      </c>
      <c r="I30" s="18">
        <f t="shared" si="1"/>
        <v>0</v>
      </c>
      <c r="J30" s="29" t="str">
        <f t="shared" si="2"/>
        <v>완료</v>
      </c>
      <c r="K30" s="25" t="s">
        <v>48</v>
      </c>
      <c r="L30" s="9"/>
    </row>
    <row r="31" spans="1:12" ht="21.95" customHeight="1">
      <c r="A31" s="24">
        <v>46295</v>
      </c>
      <c r="B31" s="25" t="s">
        <v>19</v>
      </c>
      <c r="C31" s="25" t="s">
        <v>43</v>
      </c>
      <c r="D31" s="16">
        <v>65</v>
      </c>
      <c r="E31" s="17">
        <v>7000</v>
      </c>
      <c r="F31" s="18">
        <f t="shared" si="0"/>
        <v>455000</v>
      </c>
      <c r="G31" s="17" t="s">
        <v>44</v>
      </c>
      <c r="H31" s="17">
        <v>455000</v>
      </c>
      <c r="I31" s="18">
        <f t="shared" si="1"/>
        <v>0</v>
      </c>
      <c r="J31" s="29" t="str">
        <f t="shared" si="2"/>
        <v>완료</v>
      </c>
      <c r="K31" s="25" t="s">
        <v>45</v>
      </c>
      <c r="L31" s="9"/>
    </row>
    <row r="32" spans="1:12" ht="21.95" customHeight="1">
      <c r="A32" s="24"/>
      <c r="B32" s="25"/>
      <c r="C32" s="25"/>
      <c r="D32" s="16"/>
      <c r="E32" s="17"/>
      <c r="F32" s="18" t="str">
        <f t="shared" si="0"/>
        <v/>
      </c>
      <c r="G32" s="17"/>
      <c r="H32" s="17"/>
      <c r="I32" s="18" t="str">
        <f t="shared" si="1"/>
        <v/>
      </c>
      <c r="J32" s="29" t="str">
        <f t="shared" si="2"/>
        <v/>
      </c>
      <c r="K32" s="25"/>
      <c r="L32" s="9"/>
    </row>
    <row r="33" spans="1:12" ht="21.95" customHeight="1">
      <c r="A33" s="24"/>
      <c r="B33" s="25"/>
      <c r="C33" s="25"/>
      <c r="D33" s="16"/>
      <c r="E33" s="17"/>
      <c r="F33" s="18" t="str">
        <f t="shared" si="0"/>
        <v/>
      </c>
      <c r="G33" s="17"/>
      <c r="H33" s="17"/>
      <c r="I33" s="18" t="str">
        <f t="shared" si="1"/>
        <v/>
      </c>
      <c r="J33" s="29" t="str">
        <f t="shared" si="2"/>
        <v/>
      </c>
      <c r="K33" s="25"/>
      <c r="L33" s="9"/>
    </row>
    <row r="34" spans="1:12" ht="21.95" customHeight="1">
      <c r="A34" s="24"/>
      <c r="B34" s="25"/>
      <c r="C34" s="25"/>
      <c r="D34" s="16"/>
      <c r="E34" s="17"/>
      <c r="F34" s="18" t="str">
        <f t="shared" si="0"/>
        <v/>
      </c>
      <c r="G34" s="17"/>
      <c r="H34" s="17"/>
      <c r="I34" s="18" t="str">
        <f t="shared" si="1"/>
        <v/>
      </c>
      <c r="J34" s="29" t="str">
        <f t="shared" si="2"/>
        <v/>
      </c>
      <c r="K34" s="25"/>
      <c r="L34" s="9"/>
    </row>
    <row r="35" spans="1:12" ht="21.95" customHeight="1">
      <c r="A35" s="24"/>
      <c r="B35" s="25"/>
      <c r="C35" s="25"/>
      <c r="D35" s="16"/>
      <c r="E35" s="17"/>
      <c r="F35" s="18" t="str">
        <f t="shared" si="0"/>
        <v/>
      </c>
      <c r="G35" s="17"/>
      <c r="H35" s="17"/>
      <c r="I35" s="18" t="str">
        <f t="shared" si="1"/>
        <v/>
      </c>
      <c r="J35" s="29" t="str">
        <f t="shared" si="2"/>
        <v/>
      </c>
      <c r="K35" s="25"/>
      <c r="L35" s="9"/>
    </row>
    <row r="36" spans="1:12" ht="21.95" customHeight="1">
      <c r="A36" s="24"/>
      <c r="B36" s="25"/>
      <c r="C36" s="25"/>
      <c r="D36" s="16"/>
      <c r="E36" s="17"/>
      <c r="F36" s="18" t="str">
        <f t="shared" si="0"/>
        <v/>
      </c>
      <c r="G36" s="17"/>
      <c r="H36" s="17"/>
      <c r="I36" s="18" t="str">
        <f t="shared" si="1"/>
        <v/>
      </c>
      <c r="J36" s="29" t="str">
        <f t="shared" si="2"/>
        <v/>
      </c>
      <c r="K36" s="25"/>
      <c r="L36" s="9"/>
    </row>
    <row r="37" spans="1:12" ht="21.95" customHeight="1">
      <c r="A37" s="26"/>
      <c r="B37" s="27"/>
      <c r="C37" s="27"/>
      <c r="D37" s="19"/>
      <c r="E37" s="20"/>
      <c r="F37" s="21" t="str">
        <f t="shared" si="0"/>
        <v/>
      </c>
      <c r="G37" s="20"/>
      <c r="H37" s="20"/>
      <c r="I37" s="21" t="str">
        <f t="shared" si="1"/>
        <v/>
      </c>
      <c r="J37" s="30" t="str">
        <f t="shared" si="2"/>
        <v/>
      </c>
      <c r="K37" s="27"/>
      <c r="L37" s="11"/>
    </row>
  </sheetData>
  <phoneticPr fontId="7" type="noConversion"/>
  <conditionalFormatting sqref="I5:I37">
    <cfRule type="cellIs" dxfId="1" priority="1" operator="greaterThan">
      <formula>0</formula>
    </cfRule>
  </conditionalFormatting>
  <conditionalFormatting sqref="J5:J37">
    <cfRule type="containsText" dxfId="0" priority="2" operator="containsText" text="미수"/>
  </conditionalFormatting>
  <dataValidations count="3">
    <dataValidation type="list" sqref="B5:B37" xr:uid="{00000000-0002-0000-0100-000000000000}">
      <formula1>"토마토,딸기,오이,상추,파프리카,감자,고구마"</formula1>
    </dataValidation>
    <dataValidation type="list" sqref="C5:C37" xr:uid="{00000000-0002-0000-0100-000001000000}">
      <formula1>"특,상,보통"</formula1>
    </dataValidation>
    <dataValidation type="list" sqref="K5:K37" xr:uid="{00000000-0002-0000-0100-000002000000}">
      <formula1>"현금,카드,계좌이체"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777A0-8677-4C43-9473-86D0A4B1DC23}">
  <dimension ref="A1"/>
  <sheetViews>
    <sheetView tabSelected="1" topLeftCell="A10" workbookViewId="0">
      <selection activeCell="J15" sqref="J15"/>
    </sheetView>
  </sheetViews>
  <sheetFormatPr defaultRowHeight="14.25"/>
  <sheetData/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판매요약</vt:lpstr>
      <vt:lpstr>판매기록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jong park</cp:lastModifiedBy>
  <dcterms:modified xsi:type="dcterms:W3CDTF">2026-09-28T04:33:07Z</dcterms:modified>
</cp:coreProperties>
</file>